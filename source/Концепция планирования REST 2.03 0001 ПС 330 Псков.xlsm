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K:\=cl\ctv\Data\=PM-Bitrix-VBA\По компаниям\РДИ\Задания на БП\260728 Первый объект ТехП ПС 330 кВ Псков\"/>
    </mc:Choice>
  </mc:AlternateContent>
  <xr:revisionPtr revIDLastSave="0" documentId="13_ncr:1_{614CBEA7-5FE9-45B6-8712-808680FF9B0C}" xr6:coauthVersionLast="47" xr6:coauthVersionMax="47" xr10:uidLastSave="{00000000-0000-0000-0000-000000000000}"/>
  <bookViews>
    <workbookView xWindow="15950" yWindow="980" windowWidth="25560" windowHeight="18510" xr2:uid="{00000000-000D-0000-FFFF-FFFF00000000}"/>
  </bookViews>
  <sheets>
    <sheet name="График" sheetId="1" r:id="rId1"/>
    <sheet name="tech" sheetId="2" r:id="rId2"/>
  </sheets>
  <functionGroups builtInGroupCount="19"/>
  <definedNames>
    <definedName name="ActiveCellAddress">"$AR$19"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67" i="1" l="1"/>
  <c r="J68" i="1"/>
  <c r="J69" i="1"/>
  <c r="J70" i="1"/>
  <c r="J71" i="1"/>
  <c r="J72" i="1"/>
  <c r="J73" i="1"/>
  <c r="J74" i="1"/>
  <c r="K67" i="1"/>
  <c r="K68" i="1"/>
  <c r="K69" i="1"/>
  <c r="K70" i="1"/>
  <c r="K71" i="1"/>
  <c r="K72" i="1"/>
  <c r="K73" i="1"/>
  <c r="K74" i="1"/>
  <c r="L67" i="1"/>
  <c r="L68" i="1"/>
  <c r="L69" i="1"/>
  <c r="L70" i="1"/>
  <c r="L71" i="1"/>
  <c r="L72" i="1"/>
  <c r="L73" i="1"/>
  <c r="L74" i="1"/>
  <c r="M67" i="1"/>
  <c r="M68" i="1"/>
  <c r="M69" i="1"/>
  <c r="M70" i="1"/>
  <c r="M71" i="1"/>
  <c r="M72" i="1"/>
  <c r="M73" i="1"/>
  <c r="M74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J11" i="1"/>
  <c r="J12" i="1"/>
  <c r="J13" i="1"/>
  <c r="J14" i="1"/>
  <c r="J15" i="1"/>
  <c r="J16" i="1"/>
  <c r="J17" i="1"/>
  <c r="J18" i="1"/>
  <c r="J19" i="1"/>
  <c r="J20" i="1"/>
  <c r="J21" i="1"/>
  <c r="J22" i="1"/>
  <c r="K11" i="1"/>
  <c r="K12" i="1"/>
  <c r="K13" i="1"/>
  <c r="K14" i="1"/>
  <c r="K15" i="1"/>
  <c r="K16" i="1"/>
  <c r="K17" i="1"/>
  <c r="K18" i="1"/>
  <c r="K19" i="1"/>
  <c r="K20" i="1"/>
  <c r="K21" i="1"/>
  <c r="K22" i="1"/>
  <c r="L11" i="1"/>
  <c r="L12" i="1"/>
  <c r="L13" i="1"/>
  <c r="L14" i="1"/>
  <c r="L15" i="1"/>
  <c r="L16" i="1"/>
  <c r="L17" i="1"/>
  <c r="L18" i="1"/>
  <c r="L19" i="1"/>
  <c r="L20" i="1"/>
  <c r="L21" i="1"/>
  <c r="L22" i="1"/>
  <c r="M11" i="1"/>
  <c r="M12" i="1"/>
  <c r="M13" i="1"/>
  <c r="M14" i="1"/>
  <c r="M15" i="1"/>
  <c r="M16" i="1"/>
  <c r="M17" i="1"/>
  <c r="M18" i="1"/>
  <c r="M19" i="1"/>
  <c r="M20" i="1"/>
  <c r="M21" i="1"/>
  <c r="M22" i="1"/>
  <c r="L8" i="1"/>
  <c r="M10" i="1"/>
  <c r="L10" i="1" l="1"/>
  <c r="K10" i="1"/>
  <c r="J10" i="1"/>
</calcChain>
</file>

<file path=xl/sharedStrings.xml><?xml version="1.0" encoding="utf-8"?>
<sst xmlns="http://schemas.openxmlformats.org/spreadsheetml/2006/main" count="670" uniqueCount="114">
  <si>
    <t>ID</t>
  </si>
  <si>
    <t>Модуль</t>
  </si>
  <si>
    <t>З</t>
  </si>
  <si>
    <t>Рассм</t>
  </si>
  <si>
    <t>Разраб</t>
  </si>
  <si>
    <t>К</t>
  </si>
  <si>
    <t>О</t>
  </si>
  <si>
    <t>С</t>
  </si>
  <si>
    <t>Запуск</t>
  </si>
  <si>
    <t>Корр</t>
  </si>
  <si>
    <t>Ожид</t>
  </si>
  <si>
    <t>Соглас</t>
  </si>
  <si>
    <t>█</t>
  </si>
  <si>
    <t>Шаг</t>
  </si>
  <si>
    <t>Июл 26</t>
  </si>
  <si>
    <t>Авг 26</t>
  </si>
  <si>
    <t>Сен 26</t>
  </si>
  <si>
    <t>Окт 26</t>
  </si>
  <si>
    <t>Ноя 26</t>
  </si>
  <si>
    <t>Дек 26</t>
  </si>
  <si>
    <t>Смещение</t>
  </si>
  <si>
    <t>Объект такой-то</t>
  </si>
  <si>
    <t>НАЧ</t>
  </si>
  <si>
    <t>Р</t>
  </si>
  <si>
    <t>Batch #</t>
  </si>
  <si>
    <t>URL</t>
  </si>
  <si>
    <t>HTTP Status</t>
  </si>
  <si>
    <t>Response</t>
  </si>
  <si>
    <t>Cmd Key</t>
  </si>
  <si>
    <t>Table Row</t>
  </si>
  <si>
    <t>Smart ID</t>
  </si>
  <si>
    <t>Cmd Status</t>
  </si>
  <si>
    <t>Error</t>
  </si>
  <si>
    <t>Error Description</t>
  </si>
  <si>
    <t>Cmd Result</t>
  </si>
  <si>
    <t>PARSE_ERROR</t>
  </si>
  <si>
    <t>Не удалось разобрать JSON-ответ batch</t>
  </si>
  <si>
    <t>secret</t>
  </si>
  <si>
    <t>Янв 27</t>
  </si>
  <si>
    <t>Фев 27</t>
  </si>
  <si>
    <t>Мар 27</t>
  </si>
  <si>
    <t>Апр 27</t>
  </si>
  <si>
    <t>Май 27</t>
  </si>
  <si>
    <t>Июн 27</t>
  </si>
  <si>
    <t>Активность</t>
  </si>
  <si>
    <t>0001-1-ИИ_01-Подготовка</t>
  </si>
  <si>
    <t>0001-1-ИИ_02-ППО-Поле</t>
  </si>
  <si>
    <t>0001-1-ИИ_03-ППО-Отчет</t>
  </si>
  <si>
    <t>0001-1-ИИ_04-ППО-Согласование</t>
  </si>
  <si>
    <t>0001-1-ИИ_05-ИГДИ-Поле</t>
  </si>
  <si>
    <t>0001-1-ИИ_06-ИГИ-Поле</t>
  </si>
  <si>
    <t>0001-1-ИИ_07-ИГМИ-Поле</t>
  </si>
  <si>
    <t>0001-1-ИИ_08-ИЭИ-Поле</t>
  </si>
  <si>
    <t>0001-1-ИИ_09-ИГДИ-Отчет</t>
  </si>
  <si>
    <t>0001-1-ИИ_10-ИГИ-Отчет</t>
  </si>
  <si>
    <t>0001-1-ИИ_11-ИГМИ-Отчет</t>
  </si>
  <si>
    <t>0001-1-ИИ_12-ИЭИ-Отчет</t>
  </si>
  <si>
    <t>0001-1-ИИ_13-ИИ-Согласование</t>
  </si>
  <si>
    <t>0001-2.1-ПД_02-ПЗ</t>
  </si>
  <si>
    <t>0001-2.1-ПД_03-ПЗУ</t>
  </si>
  <si>
    <t>0001-2.1-ПД_04-КР</t>
  </si>
  <si>
    <t>0001-2.1-ПД_05-ИОС1.1-ЭМ</t>
  </si>
  <si>
    <t>0001-2.1-ПД_06-ИОС1.2-РЗА</t>
  </si>
  <si>
    <t>0001-2.1-ПД_07-ИОС1.3-АСКУЭ</t>
  </si>
  <si>
    <t>0001-2.1-ПД_08-ИОС1.4-МО</t>
  </si>
  <si>
    <t>0001-2.1-ПД_09-ИОС1.5-ЭМС</t>
  </si>
  <si>
    <t>0001-2.1-ПД_10-ИОС2-ВС</t>
  </si>
  <si>
    <t>0001-2.1-ПД_11-ИОС5.1-СС</t>
  </si>
  <si>
    <t>0001-2.1-ПД_12-ИОС5.2-ВОЛС</t>
  </si>
  <si>
    <t>0001-2.1-ПД_13-АСУТП</t>
  </si>
  <si>
    <t>0001-2.1-ПД_14-ПОС</t>
  </si>
  <si>
    <t>0001-2.1-ПД_15-ООС</t>
  </si>
  <si>
    <t>0001-2.1-ПД_16-МОПБ</t>
  </si>
  <si>
    <t>0001-2.1-ПД_17-ТБЭ</t>
  </si>
  <si>
    <t>0001-2.2-СМ_01-ТКП+КА</t>
  </si>
  <si>
    <t>0001-2.2-СМ_02-ВР</t>
  </si>
  <si>
    <t>0001-2.2-СМ_03-ССР</t>
  </si>
  <si>
    <t>0001-2.2-СМ_04-Согласование СМ</t>
  </si>
  <si>
    <t>0001-3-ГГЭ_02-ПЗ</t>
  </si>
  <si>
    <t>0001-3-ГГЭ_03-ПЗУ</t>
  </si>
  <si>
    <t>0001-3-ГГЭ_04-КР</t>
  </si>
  <si>
    <t>0001-3-ГГЭ_05-ИОС1.1-ЭМ</t>
  </si>
  <si>
    <t>0001-3-ГГЭ_06-ИОС1.2-РЗА</t>
  </si>
  <si>
    <t>0001-3-ГГЭ_07-ИОС1.3-АСКУЭ</t>
  </si>
  <si>
    <t>0001-3-ГГЭ_08-ИОС1.4-МО</t>
  </si>
  <si>
    <t>0001-3-ГГЭ_09-ИОС1.5-ЭМС</t>
  </si>
  <si>
    <t>0001-3-ГГЭ_10-ИОС2-ВС</t>
  </si>
  <si>
    <t>0001-3-ГГЭ_11-ИОС5.1-СС</t>
  </si>
  <si>
    <t>0001-3-ГГЭ_12-ИОС5.2-ВОЛС</t>
  </si>
  <si>
    <t>0001-3-ГГЭ_13-АСУТП</t>
  </si>
  <si>
    <t>0001-3-ГГЭ_14-ПОС</t>
  </si>
  <si>
    <t>0001-3-ГГЭ_15-ООС</t>
  </si>
  <si>
    <t>0001-3-ГГЭ_16-МОПБ</t>
  </si>
  <si>
    <t>0001-3-ГГЭ_17-ТБЭ</t>
  </si>
  <si>
    <t>0001-4-ТЧКД_01-ТЧКД</t>
  </si>
  <si>
    <t>0001-4-ТЧКД_02-Согласование ТЧКД</t>
  </si>
  <si>
    <t>0001-2.1-ПД_18-СП</t>
  </si>
  <si>
    <t>0001-2.1-ПД_19-Расчеты ЭМ</t>
  </si>
  <si>
    <t>0001-2.1-ПД_20-Инф Без</t>
  </si>
  <si>
    <t>0001-2.1-ПД_21-АСМиТД</t>
  </si>
  <si>
    <t>0001-2.1-ПД_22-СЗЗ</t>
  </si>
  <si>
    <t>0001-2.1-ПД_23-ГОЧС</t>
  </si>
  <si>
    <t>0001-2.1-ПД_24-Согласование ПД</t>
  </si>
  <si>
    <t>0001-3-ГГЭ_18-СП</t>
  </si>
  <si>
    <t>0001-3-ГГЭ_19-Расчеты ЭМ</t>
  </si>
  <si>
    <t>0001-3-ГГЭ_20-Инф Без</t>
  </si>
  <si>
    <t>0001-3-ГГЭ_21-АСМиТД</t>
  </si>
  <si>
    <t>0001-3-ГГЭ_22-СЗЗ</t>
  </si>
  <si>
    <t>0001-3-ГГЭ_23-ГОЧС</t>
  </si>
  <si>
    <t>0001-3-ГГЭ_24-СМ</t>
  </si>
  <si>
    <t>{"result":{"result":{"q1":{"item":{"id":193,"xmlId":"","title":"0001-1-ИИ_01-Подготовка","createdBy":1,"updatedBy":0,"movedBy":1,"createdTime":"2026-08-09T11:13:11+03:00","updatedTime":"2026-08-20T14:23:13+03:00","movedTime":"2026-08-20T14:23:12+03:00","categoryId":20,"opened":"N","stageId":"DT1050_20:SUCCESS","previousStageId":"DT1050_20:CLIENT","begindate":"2026-08-09T03:00:00+03:00","closedate":"2026-08-16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-09T11:13:11+03:00","lastCommunicationTime":null,"lastCommunicationCallTime":null,"lastCommunicationEmailTime":null,"lastCommunicationImolTime":null,"lastCommunicationWebformTime":null,"parentId1038":12,"parentId1042":30,"utmSource":null,"utmMedium":null,"utmCampaign":null,"utmContent":null,"utmTerm":null,"observers":[],"contactIds":[],"entityTypeId":1050,"UF_CRM_14_MOD_NUM":"01","UF_CRM_14_MOD_SNAME":"Подготовка","UF_CRM_14_MOD_DAY2_RUN":0,"UF_CRM_14_MOD_CHECK":"2026-07-15T03:00:00+03:00","UF_CRM_14_MOD_CREATE":"2026-07-21T03:00:00+03:00","UF_CRM_14_MOD_DAY2_EDIT":0,"UF_CRM_14_MOD_DAY2_WAIT":0,"UF_CRM_14_MOD_DAY2_APPROVE":0,"UF_CRM_14_MOD_RUN":"2026-07-15T03:00:00+03:00","UF_CRM_14_MOD_EDIT":"2026-07-21T03:00:00+03:00","UF_CRM_14_MOD_WAIT":"2026-07-21T03:00:00+03:00","UF_CRM_14_MOD_APPROVE":"2026-07-21T03:00:00+03:00","UF_CRM_14_MOD_DAYS_CREATE":7,"UF_CRM_14_MOD_CREATOR_USER":22,"UF_CRM_14_MOD_CREATOR_COMPANY":"8","UF_CRM_14_MOD_CREATOR_CONTACT":["10"],"UF_CRM_14_MOD_TASK_ID":718,"UF_CRM_14_MOD_FREEZ_STAGE":"Основная\/Разработка","UF_CRM_14_MOD_ACTIV_INPUT":"","UF_CRM_14_MOD_ACTIV_TXTLAST":"[план тест] проверка bulk-save-data.php, можно игнорировать","UF_CRM_14_MOD_ACTIV_DLAST":"2026-08-20T03:00:00+03:00","UF_CRM_14_MOD_ACTIV_PROCESS":["14.08.2026 11:31:42: jnghfdktyj","14.08.2026 11:32:00: отправлено","16.08.2026 21:50:14: Разрешения на ПС получены срок мобилизации на ПС 21 кл. д.","20.08.2026 14:22:46: [план тест] проверка bulk-save-data.php, можно игнорировать"],"UF_CRM_14_MOD_PERCENT":1,"UF_CRM_14_MOD_FILES":[]}},"q2":{"item":{"id":195,"xmlId":"","title":"0001-1-ИИ_02-ППО-Поле","createdBy":1,"updatedBy":1,"movedBy":28,"createdTime":"2026-08-09T11:14:28+03:00","updatedTime":"2026-08-20T14:18:42+03:00","movedTime":"2026-08-16T21:48:45+03:00","categoryId":20,"opened":"N","stageId":"DT1050_20:SUCCESS","previousStageId":"DT1050_20:NEW","begindate":"2026-08-09T03:00:00+03:00","closedate":"2026-08-16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-09T11:14:28+03:00","lastCommunicationTime":null,"lastCommunicationCallTime":null,"lastCommunicationEmailTime":null,"lastCommunicationImolTime":null,"lastCommunicationWebformTime":null,"parentId1038":12,"parentId1042":30,"utmSource":null,"utmMedium":null,"utmCampaign":null,"utmContent":null,"utmTerm":null,"observers":[],"contactIds":[],"entityTypeId":1050,"UF_CRM_14_MOD_NUM":"02","UF_CRM_14_MOD_SNAME":"ППО-Поле","UF_CRM_14_MOD_DAY2_RUN":0,"UF_CRM_14_MOD_CHECK":"2026-07-21T03:00:00+03:00","UF_CRM_14_MOD_CREATE":"2026-07-27T03:00:00+03:00","UF_CRM_14_MOD_DAY2_EDIT":0,"UF_CRM_14_MOD_DAY2_WAIT":0,"UF_CRM_14_MOD_DAY2_APPROVE":0,"UF_CRM_14_MOD_RUN":"2026-07-21T03:00:00+03:00","UF_CRM_14_MOD_EDIT":"2026-07-27T03:00:00+03:00","UF_CRM_14_MOD_WAIT":"2026-07-27T03:00:00+03:00","UF_CRM_14_MOD_APPROVE":"2026-07-27T03:00:00+03:00","UF_CRM_14_MOD_DAYS_CREATE":7,"UF_CRM_14_MOD_CREATOR_USER":22,"UF_CRM_14_MOD_CREATOR_COMPANY":"8","UF_CRM_14_MOD_CREATOR_CONTACT":["10"],"UF_CRM_14_MOD_TASK_ID":594,"UF_CRM_14_MOD_FREEZ_STAGE":"Основная\/Запуск","UF_CRM_14_MOD_ACTIV_INPUT":"","UF_CRM_14_MOD_ACTIV_TXTLAST":"Работы закончены 29.07.2026.","UF_CRM_14_MOD_ACTIV_DLAST":"2026-08-16T03:00:00+03:00","UF_CRM_14_MOD_ACTIV_PROCESS":["16.08.2026 21:48:49: Работы закончены 29.07.2026."],"UF_CRM_14_MOD_PERCENT":1,"UF_CRM_14_MOD_FILES":[]}},"q3":{"item":{"id":197,"xmlId":"","title":"0001-1-ИИ_03-ППО-Отчет","createdBy":1,"updatedBy":0,"movedBy":28,"createdTime":"2026-08-09T11:15:01+03:00","updatedTime":"2026-08-16T22:17:15+03:00","movedTime":"2026-08-16T22:17:15+03:00","categoryId":20,"opened":"N","stageId":"DT1050_20:SUCCESS","previousStageId":"DT1050_20:UC_M71TWU","begindate":"2026-08-09T03:00:00+03:00","closedate":"2026-08-16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-09T11:15:01+03:00","lastCommunicationTime":null,"lastCommunicationCallTime":null,"lastCommunicationEmailTime":null,"lastCommunicationImolTime":null,"lastCommunicationWebformTime":null,"parentId1038":12,"parentId1042":30,"utmSource":null,"utmMedium":null,"utmCampaign":null,"utmContent":null,"utmTerm":null,"observers":[],"contactIds":[],"entityTypeId":1050,"UF_CRM_14_MOD_NUM":"03","UF_CRM_14_MOD_SNAME":"ППО-Отчет","UF_CRM_14_MOD_DAY2_RUN":0,"UF_CRM_14_MOD_CHECK":"2026-07-27T03:00:00+03:00","UF_CRM_14_MOD_CREATE":"2026-08-07T03:00:00+03:00","UF_CRM_14_MOD_DAY2_EDIT":0,"UF_CRM_14_MOD_DAY2_WAIT":0,"UF_CRM_14_MOD_DAY2_APPROVE":0,"UF_CRM_14_MOD_RUN":"2026-07-27T03:00:00+03:00","UF_CRM_14_MOD_EDIT":"2026-08-07T03:00:00+03:00","UF_CRM_14_MOD_WAIT":"2026-08-07T03:00:00+03:00","UF_CRM_14_MOD_APPROVE":"2026-08-07T03:00:00+03:00","UF_CRM_14_MOD_DAYS_CREATE":12,"UF_CRM_14_MOD_CREATOR_USER":22,"UF_CRM_14_MOD_CREATOR_COMPANY":"8","UF_CRM_14_MOD_CREATOR_CONTACT":["10"],"UF_CRM_14_MOD_TASK_ID":612,"UF_CRM_14_MOD_FREEZ_STAGE":"Основная\/Согласование","UF_CRM_14_MOD_ACTIV_INPUT":"","UF_CRM_14_MOD_ACTIV_TXTLAST":"Направлен отчет ППО 12.08.2026 номер письма найти?","UF_CRM_14_MOD_ACTIV_DLAST":"2026-08-16T03:00:00+03:00","UF_CRM_14_MOD_ACTIV_PROCESS":["16.08.2026 21:51:34: Направлен отчет ППО 12.08.2026 номер письма найти?"],"UF_CRM_14_MOD_PERCENT":1,"UF_CRM_14_MOD_FILES":[]}},"q4":{"item":{"id":199,"xmlId":"","title":"0001-1-ИИ_04-ППО-Согласование","createdBy":1,"updatedBy":24,"movedBy":28,"createdTime":"2026-08-09T11:16:16+03:00","updatedTime":"2026-08-20T00:05:27+03:00","movedTime":"2026-08-16T21:53:24+03:00","categoryId":20,"opened":"N","stageId":"DT1050_20:UC_PM02XS","previousStageId":"DT1050_20:UC_M71TWU","begindate":"2026-08-09T03:00:00+03:00","closedate":"2026-08-16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24,"lastActivityTime":"2026-08-20T00:00:00+03:00","lastCommunicationTime":null,"lastCommunicationCallTime":null,"lastCommunicationEmailTime":null,"lastCommunicationImolTime":null,"lastCommunicationWebformTime":null,"parentId1038":12,"parentId1042":30,"utmSource":null,"utmMedium":null,"utmCampaign":null,"utmContent":null,"utmTerm":null,"observers":[],"contactIds":[],"entityTypeId":1050,"UF_CRM_14_MOD_NUM":"04","UF_CRM_14_MOD_SNAME":"ППО-Согласование","UF_CRM_14_MOD_DAY2_RUN":0,"UF_CRM_14_MOD_CHECK":"2026-08-07T03:00:00+03:00","UF_CRM_14_MOD_CREATE":"2026-08-20T03:00:00+03:00","UF_CRM_14_MOD_DAY2_EDIT":0,"UF_CRM_14_MOD_DAY2_WAIT":0,"UF_CRM_14_MOD_DAY2_APPROVE":0,"UF_CRM_14_MOD_RUN":"2026-08-07T03:00:00+03:00","UF_CRM_14_MOD_EDIT":"2026-08-20T03:00:00+03:00","UF_CRM_14_MOD_WAIT":"2026-08-20T03:00:00+03:00","UF_CRM_14_MOD_APPROVE":"2026-08-20T03:00:00+03:00","UF_CRM_14_MOD_DAYS_CREATE":14,"UF_CRM_14_MOD_CREATOR_USER":22,"UF_CRM_14_MOD_CREATOR_COMPANY":"8","UF_CRM_14_MOD_CREATOR_CONTACT":["10"],"UF_CRM_14_MOD_TASK_ID":616,"UF_CRM_14_MOD_FREEZ_STAGE":"Основная\/Ожидание","UF_CRM_14_MOD_ACTIV_INPUT":"","UF_CRM_14_MOD_ACTIV_TXTLAST":"Ждем замечаний и\/или согласование ППО от заказчика направленное 12.08.2026. \nДля себя, строки выше Ожидание подумать?","UF_CRM_14_MOD_ACTIV_DLAST":"2026-08-16T03:00:00+03:00","UF_CRM_14_MOD_ACTIV_PROCESS":["16.08.2026 21:54:08: Ждем замечаний и\/или согласование ППО от заказчика направленное 12.08.2026. \nДля себя, строки выше Ожидание подумать?"],"UF_CRM_14_MOD_PERCENT":0.9,"UF_CRM_14_MOD_FILES":[]}},"q5":{"item":{"id":201,"xmlId":"","title":"0001-1-ИИ_05-ИГДИ-Поле","createdBy":1,"updatedBy":0,"movedBy":28,"createdTime":"2026-08-09T11:17:40+03:00","updatedTime":"2026-08-16T21:56:55+03:00","movedTime":"2026-08-16T21:56:54+03:00","categoryId":20,"opened":"N","stageId":"DT1050_20:SUCCESS","previousStageId":"DT1050_20:NEW","begindate":"2026-08-09T03:00:00+03:00","closedate":"2026-08-16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-09T11:17:40+03:00","lastCommunicationTime":null,"lastCommunicationCallTime":null,"lastCommunicationEmailTime":null,"lastCommunicationImolTime":null,"lastCommunicationWebformTime":null,"parentId1038":12,"parentId1042":30,"utmSource":null,"utmMedium":null,"utmCampaign":null,"utmContent":null,"utmTerm":null,"observers":[],"contactIds":[],"entityTypeId":1050,"UF_CRM_14_MOD_NUM":"05","UF_CRM_14_MOD_SNAME":"ИГДИ-Поле","UF_CRM_14_MOD_DAY2_RUN":0,"UF_CRM_14_MOD_CHECK":"2026-07-21T03:00:00+03:00","UF_CRM_14_MOD_CREATE":"2026-07-27T03:00:00+03:00","UF_CRM_14_MOD_DAY2_EDIT":0,"UF_CRM_14_MOD_DAY2_WAIT":0,"UF_CRM_14_MOD_DAY2_APPROVE":0,"UF_CRM_14_MOD_RUN":"2026-07-21T03:00:00+03:00","UF_CRM_14_MOD_EDIT":"2026-07-27T03:00:00+03:00","UF_CRM_14_MOD_WAIT":"2026-07-27T03:00:00+03:00","UF_CRM_14_MOD_APPROVE":"2026-07-27T03:00:00+03:00","UF_CRM_14_MOD_DAYS_CREATE":7,"UF_CRM_14_MOD_CREATOR_USER":22,"UF_CRM_14_MOD_CREATOR_COMPANY":"8","UF_CRM_14_MOD_CREATOR_CONTACT":["10"],"UF_CRM_14_MOD_TASK_ID":562,"UF_CRM_14_MOD_FREEZ_STAGE":"Основная\/Запуск","UF_CRM_14_MOD_ACTIV_INPUT":"","UF_CRM_14_MOD_ACTIV_TXTLAST":"Выполнено 29.07.2026.","UF_CRM_14_MOD_ACTIV_DLAST":"2026-08-16T03:00:00+03:00","UF_CRM_14_MOD_ACTIV_PROCESS":["16.08.2026 21:56:55: Выполнено 29.07.2026."],"UF_CRM_14_MOD_PERCENT":1,"UF_CRM_14_MOD_FILES":[]}},"q6":{"item":{"id":203,"xmlId":"","title":"0001-1-ИИ_06-ИГИ-Поле","createdBy":1,"updatedBy":0,"movedBy":28,"createdTime":"2026-08-09T11:19:12+03:00","updatedTime":"2026-08-16T21:59:36+03:00","movedTime":"2026-08-16T21:59:35+03:00","categoryId":20,"opened":"N","stageId":"DT1050_20:SUCCESS","previousStageId":"DT1050_20:UC_M71TWU","begindate":"2026-08-09T03:00:00+03:00","closedate":"2026-08-16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-09T11:19:12+03:00","lastCommunicationTime":null,"lastCommunicationCallTime":null,"lastCommunicationEmailTime":null,"lastCommunicationImolTime":null,"lastCommunicationWebformTime":null,"parentId1038":12,"parentId1042":30,"utmSource":null,"utmMedium":null,"utmCampaign":null,"utmContent":null,"utmTerm":null,"observers":[],"contactIds":[],"entityTypeId":1050,"UF_CRM_14_MOD_NUM":"06","UF_CRM_14_MOD_SNAME":"ИГИ-Поле","UF_CRM_14_MOD_DAY2_RUN":0,"UF_CRM_14_MOD_CHECK":"2026-07-21T03:00:00+03:00","UF_CRM_14_MOD_CREATE":"2026-07-27T03:00:00+03:00","UF_CRM_14_MOD_DAY2_EDIT":0,"UF_CRM_14_MOD_DAY2_WAIT":0,"UF_CRM_14_MOD_DAY2_APPROVE":0,"UF_CRM_14_MOD_RUN":"2026-07-21T03:00:00+03:00","UF_CRM_14_MOD_EDIT":"2026-07-27T03:00:00+03:00","UF_CRM_14_MOD_WAIT":"2026-07-27T03:00:00+03:00","UF_CRM_14_MOD_APPROVE":"2026-07-27T03:00:00+03:00","UF_CRM_14_MOD_DAYS_CREATE":7,"UF_CRM_14_MOD_CREATOR_USER":22,"UF_CRM_14_MOD_CREATOR_COMPANY":"8","UF_CRM_14_MOD_CREATOR_CONTACT":["10"],"UF_CRM_14_MOD_TASK_ID":604,"UF_CRM_14_MOD_FREEZ_STAGE":"Основная\/Согласование","UF_CRM_14_MOD_ACTIV_INPUT":"","UF_CRM_14_MOD_ACTIV_TXTLAST":"Выполнено 28.07.2026","UF_CRM_14_MOD_ACTIV_DLAST":"2026-08-16T03:00:00+03:00","UF_CRM_14_MOD_ACTIV_PROCESS":["16.08.2026 21:59:36: Выполнено 28.07.2026"],"UF_CRM_14_MOD_PERCENT":1,"UF_CRM_14_MOD_FILES":[]}},"q7":{"item":{"id":205,"xmlId":"","title":"0001-1-ИИ_07-ИГМИ-Поле","createdBy":1,"updatedBy":0,"movedBy":28,"createdTime":"2026-08-09T11:19:41+03:00","updatedTime":"2026-08-16T22:01:58+03:00","movedTime":"2026-08-16T22:01:55+03:00","categoryId":20,"opened":"N","stageId":"DT1050_20:SUCCESS","previousStageId":"DT1050_20:CLIENT","begindate":"2026-08-09T03:00:00+03:00","closedate":"2026-08-16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-09T11:19:41+03:00","lastCommunicationTime":null,"lastCommunicationCallTime":null,"lastCommunicationEmailTime":null,"lastCommunicationImolTime":null,"lastCommunicationWebformTime":null,"parentId1038":12,"parentId1042":30,"utmSource":null,"utmMedium":null,"utmCampaign":null,"utmContent":null,"utmTerm":null,"observers":[],"contactIds":[],"entityTypeId":1050,"UF_CRM_14_MOD_NUM":"07","UF_CRM_14_MOD_SNAME":"ИГМИ-Поле","UF_CRM_14_MOD_DAY2_RUN":0,"UF_CRM_14_MOD_CHECK":"2026-07-21T03:00:00+03:00","UF_CRM_14_MOD_CREATE":"2026-07-27T03:00:00+03:00","UF_CRM_14_MOD_DAY2_EDIT":0,"UF_CRM_14_MOD_DAY2_WAIT":0,"UF_CRM_14_MOD_DAY2_APPROVE":0,"UF_CRM_14_MOD_RUN":"2026-07-21T03:00:00+03:00","UF_CRM_14_MOD_EDIT":"2026-07-27T03:00:00+03:00","UF_CRM_14_MOD_WAIT":"2026-07-27T03:00:00+03:00","UF_CRM_14_MOD_APPROVE":"2026-07-27T03:00:00+03:00","UF_CRM_14_MOD_DAYS_CREATE":7,"UF_CRM_14_MOD_CREATOR_USER":22,"UF_CRM_14_MOD_CREATOR_COMPANY":"8","UF_CRM_14_MOD_CREATOR_CONTACT":["10"],"UF_CRM_14_MOD_TASK_ID":606,"UF_CRM_14_MOD_FREEZ_STAGE":"Основная\/Разработка","UF_CRM_14_MOD_ACTIV_INPUT":"","UF_CRM_14_MOD_ACTIV_TXTLAST":"Выполнены 28.07.2026","UF_CRM_14_MOD_ACTIV_DLAST":"2026-08-16T03:00:00+03:00","UF_CRM_14_MOD_ACTIV_PROCESS":["16.08.2026 22:01:58: Выполнены 28.07.2026"],"UF_CRM_14_MOD_PERCENT":1,"UF_CRM_14_MOD_FILES":[]}},"q8":{"item":{"id":207,"xmlId":"","title":"0001-1-ИИ_08-ИЭИ-Поле","createdBy":1,"updatedBy":0,"movedBy":28,"createdTime":"2026-08-09T11:20:04+03:00","updatedTime":"2026-08-16T22:02:34+03:00","movedTime":"2026-08-16T22:02:32+03:00","categoryId":20,"opened":"N","stageId":"DT1050_20:SUCCESS","previousStageId":"DT1050_20:NEW","begindate":"2026-08-09T03:00:00+03:00","closedate":"2026-08-16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-09T11:20:04+03:00","lastCommunicationTime":null,"lastCommunicationCallTime":null,"lastCommunicationEmailTime":null,"lastCommunicationImolTime":null,"lastCommunicationWebformTime":null,"parentId1038":12,"parentId1042":30,"utmSource":null,"utmMedium":null,"utmCampaign":null,"utmContent":null,"utmTerm":null,"observers":[],"contactIds":[],"entityTypeId":1050,"UF_CRM_14_MOD_NUM":"08","UF_CRM_14_MOD_SNAME":"ИЭИ-Поле","UF_CRM_14_MOD_DAY2_RUN":0,"UF_CRM_14_MOD_CHECK":"2026-07-21T03:00:00+03:00","UF_CRM_14_MOD_CREATE":"2026-07-27T03:00:00+03:00","UF_CRM_14_MOD_DAY2_EDIT":0,"UF_CRM_14_MOD_DAY2_WAIT":0,"UF_CRM_14_MOD_DAY2_APPROVE":0,"UF_CRM_14_MOD_RUN":"2026-07-21T03:00:00+03:00","UF_CRM_14_MOD_EDIT":"2026-07-27T03:00:00+03:00","UF_CRM_14_MOD_WAIT":"2026-07-27T03:00:00+03:00","UF_CRM_14_MOD_APPROVE":"2026-07-27T03:00:00+03:00","UF_CRM_14_MOD_DAYS_CREATE":7,"UF_CRM_14_MOD_CREATOR_USER":22,"UF_CRM_14_MOD_CREATOR_COMPANY":"8","UF_CRM_14_MOD_CREATOR_CONTACT":["10"],"UF_CRM_14_MOD_TASK_ID":568,"UF_CRM_14_MOD_FREEZ_STAGE":"Основная\/Запуск","UF_CRM_14_MOD_ACTIV_INPUT":"","UF_CRM_14_MOD_ACTIV_TXTLAST":"Выполнены 28.07.2026","UF_CRM_14_MOD_ACTIV_DLAST":"2026-08-16T03:00:00+03:00","UF_CRM_14_MOD_ACTIV_PROCESS":["16.08.2026 22:02:33: Выполнены 28.07.2026"],"UF_CRM_14_MOD_PERCENT":1,"UF_CRM_14_MOD_FILES":[]}},"q9":{"item":{"id":209,"xmlId":"","title":"0001-1-ИИ_09-ИГДИ-Отчет","createdBy":1,"updatedBy":28,"movedBy":28,"createdTime":"2026-08-09T11:20:32+03:00","updatedTime":"2026-08-16T21:47:05+03:00","movedTime":"2026-08-16T21:34:41+03:00","categoryId":20,"opened":"N","stageId":"DT1050_20:UC_M71TWU","previousStageId":"DT1050_20:NEW","begindate":"2026-08-09T03:00:00+03:00","closedate":"2026-08-16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-09T11:20:32+03:00","lastCommunicationTime":null,"lastCommunicationCallTime":null,"lastCommunicationEmailTime":null,"lastCommunicationImolTime":null,"lastCommunicationWebformTime":null,"parentId1038":12,"parentId1042":30,"utmSource":null,"utmMedium":null,"utmCampaign":null,"utmContent":null,"utmTerm":null,"observers":[],"contactIds":[],"entityTypeId":1050,"UF_CRM_14_MOD_NUM":"09","UF_CRM_14_MOD_SNAME":"ИГДИ-Отчет","UF_CRM_14_MOD_DAY2_RUN":0,"UF_CRM_14_MOD_CHECK":"2026-07-27T03:00:00+03:00","UF_CRM_14_MOD_CREATE":"2026-08-07T03:00:00+03:00","UF_CRM_14_MOD_DAY2_EDIT":0,"UF_CRM_14_MOD_DAY2_WAIT":0,"UF_CRM_14_MOD_DAY2_APPROVE":0,"UF_CRM_14_MOD_RUN":"2026-07-27T03:00:00+03:00","UF_CRM_14_MOD_EDIT":"2026-08-07T03:00:00+03:00","UF_CRM_14_MOD_WAIT":"2026-08-07T03:00:00+03:00","UF_CRM_14_MOD_APPROVE":"2026-08-07T03:00:00+03:00","UF_CRM_14_MOD_DAYS_CREATE":12,"UF_CRM_14_MOD_CREATOR_USER":22,"UF_CRM_14_MOD_CREATOR_COMPANY":"8","UF_CRM_14_MOD_CREATOR_CONTACT":["10"],"UF_CRM_14_MOD_TASK_ID":610,"UF_CRM_14_MOD_FREEZ_STAGE":"Основная\/Согласование","UF_CRM_14_MOD_ACTIV_INPUT":"","UF_CRM_14_MOD_ACTIV_TXTLAST":"направлены заказчику 14.08.2026 письмо №209","UF_CRM_14_MOD_ACTIV_DLAST":"2026-08-16T03:00:00+03:00","UF_CRM_14_MOD_ACTIV_PROCESS":["16.08.2026 21:34:11: направлены заказчику 14.08.2026 письмо №209"],"UF_CRM_14_MOD_PERCENT":0.9,"UF_CRM_14_MOD_FILES":[{"id":168,"url":"https:\/\/ooordi.bitrix24.ru\/bitrix\/services\/main\/ajax.php?action=crm.controller.item.getFile\u0026SITE_ID=s1\u0026entityTypeId=1050\u0026id=209\u0026fieldName=UF_CRM_14_MOD_FILES\u0026fileId=168","urlMachine":"https:\/\/ooordi.bitrix24.ru\/rest\/1\/nhx2etjkodtqsr8k\/crm.controller.item.getFile\/?token=crm%7CYWN0aW9uPWNybS5jb250cm9sbGVyLml0ZW0uZ2V0RmlsZSZTSVRFX0lEPXMxJmVudGl0eVR5cGVJZD0xMDUwJmlkPTIwOSZmaWVsZE5hbWU9VUZfQ1JNXzE0X01PRF9GSUxFUyZmaWxlSWQ9MTY4Jl89ZVU4WVRMZWhZTXNPSnM0bzJmcUdqNHFNUklhZHVpNkM%3D%7CImNybS5jb250cm9sbGVyLml0ZW0uZ2V0ZmlsZXxjcm18WVdOMGFXOXVQV055YlM1amIyNTBjbTlzYkdWeUxtbDBaVzB1WjJWMFJtbHNaU1pUU1ZSRlgwbEVQWE14Sm1WdWRHbDBlVlI1Y0dWSlpEMHhNRFV3Sm1sa1BUSXdPU1ptYVdWc1pFNWhiV1U5VlVaZlExSk5YekUwWDAxUFJGOUdTVXhGVXlabWFXeGxTV1E5TVRZNEpsODlaVlU0V1ZSTVpXaFpUWE5QU25NMGJ6Sm1jVWRxTkhGTlVrbGhaSFZwTmtNPXwxfG5oeDJldGprb2R0cXNyOGsi.D%2BpE4WjrFSY5fmXZL5y8YbMlbEo37OJooPTY74HlQj0%3D"}]}},"q10":{"item":{"id":211,"xmlId":"","title":"0001-1-ИИ_10-ИГИ-Отчет","createdBy":1,"updatedBy":0,"movedBy":28,"createdTime":"2026-08-09T11:21:03+03:00","updatedTime":"2026-08-19T18:43:15+03:00","movedTime":"2026-08-16T22:00:57+03:00","categoryId":20,"opened":"N","stageId":"DT1050_20:UC_M71TWU","previousStageId":"DT1050_20:NEW","begindate":"2026-08-09T03:00:00+03:00","closedate":"2026-08-16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-09T11:21:03+03:00","lastCommunicationTime":null,"lastCommunicationCallTime":null,"lastCommunicationEmailTime":null,"lastCommunicationImolTime":null,"lastCommunicationWebformTime":null,"parentId1038":12,"parentId1042":30,"utmSource":null,"utmMedium":null,"utmCampaign":null,"utmContent":null,"utmTerm":null,"observers":[],"contactIds":[],"entityTypeId":1050,"UF_CRM_14_MOD_NUM":"10","UF_CRM_14_MOD_SNAME":"ИГИ-Отчет","UF_CRM_14_MOD_DAY2_RUN":0,"UF_CRM_14_MOD_CHECK":"2026-07-27T03:00:00+03:00","UF_CRM_14_MOD_CREATE":"2026-08-14T03:00:00+03:00","UF_CRM_14_MOD_DAY2_EDIT":0,"UF_CRM_14_MOD_DAY2_WAIT":0,"UF_CRM_14_MOD_DAY2_APPROVE":0,"UF_CRM_14_MOD_RUN":"2026-07-27T03:00:00+03:00","UF_CRM_14_MOD_EDIT":"2026-08-14T03:00:00+03:00","UF_CRM_14_MOD_WAIT":"2026-08-14T03:00:00+03:00","UF_CRM_14_MOD_APPROVE":"2026-08-14T03:00:00+03:00","UF_CRM_14_MOD_DAYS_CREATE":19,"UF_CRM_14_MOD_CREATOR_USER":22,"UF_CRM_14_MOD_CREATOR_COMPANY":"8","UF_CRM_14_MOD_CREATOR_CONTACT":["10"],"UF_CRM_14_MOD_TASK_ID":618,"UF_CRM_14_MOD_FREEZ_STAGE":"Основная\/Согласование","UF_CRM_14_MOD_ACTIV_INPUT":"","UF_CRM_14_MOD_ACTIV_TXTLAST":"Ждем замечаний и\/или согласование ИГИ от заказчика направленное 12.08.2026. вписать номер письма и прикрепить письмо.\nДля себя, строки выше Ожидание подумать?","UF_CRM_14_MOD_ACTIV_DLAST":"2026-08-16T03:00:00+03:00","UF_CRM_14_MOD_ACTIV_PROCESS":["16.08.2026 22:01:02: Ждем замечаний и\/или согласование ИГИ от заказчика направленное 12.08.2026. вписать номер письма и прикрепить письмо.\nДля себя, строки выше Ожидание подумать?"],"UF_CRM_14_MOD_PERCENT":0.9,"UF_CRM_14_MOD_FILES":[]}},"q11":{"item":{"id":213,"xmlId":"","title":"0001-1-ИИ_11-ИГМИ-Отчет","createdBy":1,"updatedBy":0,"movedBy":28,"createdTime":"2026-08-09T11:21:31+03:00","updatedTime":"2026-08-19T18:43:15+03:00","movedTime":"2026-08-16T22:07:45+03:00","categoryId":20,"opened":"N","stageId":"DT1050_20:UC_M71TWU","previousStageId":"DT1050_20:UC_PM02XS","begindate":"2026-08-09T03:00:00+03:00","closedate":"2026-08-16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-09T11:21:31+03:00","lastCommunicationTime":null,"lastCommunicationCallTime":null,"lastCommunicationEmailTime":null,"lastCommunicationImolTime":null,"lastCommunicationWebformTime":null,"parentId1038":12,"parentId1042":30,"utmSource":null,"utmMedium":null,"utmCampaign":null,"utmContent":null,"utmTerm":null,"observers":[],"contactIds":[],"entityTypeId":1050,"UF_CRM_14_MOD_NUM":"11","UF_CRM_14_MOD_SNAME":"ИГМИ-Отчет","UF_CRM_14_MOD_DAY2_RUN":0,"UF_CRM_14_MOD_CHECK":"2026-07-27T03:00:00+03:00","UF_CRM_14_MOD_CREATE":"2026-08-14T03:00:00+03:00","UF_CRM_14_MOD_DAY2_EDIT":0,"UF_CRM_14_MOD_DAY2_WAIT":0,"UF_CRM_14_MOD_DAY2_APPROVE":0,"UF_CRM_14_MOD_RUN":"2026-07-27T03:00:00+03:00","UF_CRM_14_MOD_EDIT":"2026-08-14T03:00:00+03:00","UF_CRM_14_MOD_WAIT":"2026-08-14T03:00:00+03:00","UF_CRM_14_MOD_APPROVE":"2026-08-14T03:00:00+03:00","UF_CRM_14_MOD_DAYS_CREATE":19,"UF_CRM_14_MOD_CREATOR_USER":22,"UF_CRM_14_MOD_CREATOR_COMPANY":"8","UF_CRM_14_MOD_CREATOR_CONTACT":["10"],"UF_CRM_14_MOD_TASK_ID":622,"UF_CRM_14_MOD_FREEZ_STAGE":"Основная\/Согласование","UF_CRM_14_MOD_ACTIV_INPUT":"","UF_CRM_14_MOD_ACTIV_TXTLAST":"Готов направлен на согласование заказчику, последняя активность в истории не верна.","UF_CRM_14_MOD_ACTIV_DLAST":"2026-08-16T03:00:00+03:00","UF_CRM_14_MOD_ACTIV_PROCESS":["16.08.2026 22:04:07: Заказ справок 30 к.д. Прописать даты направления справок и номера, прикрепить сюда сканы.","16.08.2026 22:07:50: Готов направлен на согласование заказчику, последняя активность в истории не верна."],"UF_CRM_14_MOD_PERCENT":0.9,"UF_CRM_14_MOD_FILES":[]}},"q12":{"item":{"id":215,"xmlId":"","title":"0001-1-ИИ_12-ИЭИ-Отчет","createdBy":1,"updatedBy":0,"movedBy":28,"createdTime":"2026-08-09T11:22:03+03:00","updatedTime":"2026-08-19T18:43:16+03:00","movedTime":"2026-08-16T22:08:17+03:00","categoryId":20,"opened":"N","stageId":"DT1050_20:UC_M71TWU","previousStageId":"DT1050_20:NEW","begindate":"2026-08-09T03:00:00+03:00","closedate":"2026-08-16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-09T11:22:03+03:00","lastCommunicationTime":null,"lastCommunicationCallTime":null,"lastCommunicationEmailTime":null,"lastCommunicationImolTime":null,"lastCommunicationWebformTime":null,"parentId1038":12,"parentId1042":30,"utmSource":null,"utmMedium":null,"utmCampaign":null,"utmContent":null,"utmTerm":null,"observers":[],"contactIds":[],"entityTypeId":1050,"UF_CRM_14_MOD_NUM":"12","UF_CRM_14_MOD_SNAME":"ИЭИ-Отчет","UF_CRM_14_MOD_DAY2_RUN":0,"UF_CRM_14_MOD_CHECK":"2026-07-27T03:00:00+03:00","UF_CRM_14_MOD_CREATE":"2026-08-31T03:00:00+03:00","UF_CRM_14_MOD_DAY2_EDIT":0,"UF_CRM_14_MOD_DAY2_WAIT":0,"UF_CRM_14_MOD_DAY2_APPROVE":0,"UF_CRM_14_MOD_RUN":"2026-07-27T03:00:00+03:00","UF_CRM_14_MOD_EDIT":"2026-08-31T03:00:00+03:00","UF_CRM_14_MOD_WAIT":"2026-08-31T03:00:00+03:00","UF_CRM_14_MOD_APPROVE":"2026-08-31T03:00:00+03:00","UF_CRM_14_MOD_DAYS_CREATE":36,"UF_CRM_14_MOD_CREATOR_USER":22,"UF_CRM_14_MOD_CREATOR_COMPANY":"8","UF_CRM_14_MOD_CREATOR_CONTACT":["10"],"UF_CRM_14_MOD_TASK_ID":624,"UF_CRM_14_MOD_FREEZ_STAGE":"Основная\/Согласование","UF_CRM_14_MOD_ACTIV_INPUT":"","UF_CRM_14_MOD_ACTIV_TXTLAST":"Заказ справок 30 к.д. Прописать даты направления справок и номера, прикрепить сюда сканы.","UF_CRM_14_MOD_ACTIV_DLAST":"2026-08-16T03:00:00+03:00","UF_CRM_14_MOD_ACTIV_PROCESS":["16.08.2026 22:08:20: Заказ справок 30 к.д. Прописать даты направления справок и номера, прикрепить сюда сканы."],"UF_CRM_14_MOD_PERCENT":0.9,"UF_CRM_14_MOD_FILES":[]}},"q13":{"item":{"id":217,"xmlId":"","title":"0001-1-ИИ_13-ИИ-Согласование","createdBy":1,"updatedBy":0,"movedBy":28,"createdTime":"2026-08-09T11:22:30+03:00","updatedTime":"2026-08-19T18:43:16+03:00","movedTime":"2026-08-16T22:09:20+03:00","categoryId":20,"opened":"N","stageId":"DT1050_20:UC_PM02XS","previousStageId":"DT1050_20:NEW","begindate":"2026-08-09T03:00:00+03:00","closedate":"2026-08-16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-09T11:22:30+03:00","lastCommunicationTime":null,"lastCommunicationCallTime":null,"lastCommunicationEmailTime":null,"lastCommunicationImolTime":null,"lastCommunicationWebformTime":null,"parentId1038":12,"parentId1042":30,"utmSource":null,"utmMedium":null,"utmCampaign":null,"utmContent":null,"utmTerm":null,"observers":[],"contactIds":[],"entityTypeId":1050,"UF_CRM_14_MOD_NUM":"13","UF_CRM_14_MOD_SNAME":"ИИ-Согласование","UF_CRM_14_MOD_DAY2_RUN":0,"UF_CRM_14_MOD_CHECK":"2026-08-07T03:00:00+03:00","UF_CRM_14_MOD_CREATE":"2026-09-10T03:00:00+03:00","UF_CRM_14_MOD_DAY2_EDIT":0,"UF_CRM_14_MOD_DAY2_WAIT":0,"UF_CRM_14_MOD_DAY2_APPROVE":0,"UF_CRM_14_MOD_RUN":"2026-08-07T03:00:00+03:00","UF_CRM_14_MOD_EDIT":"2026-09-10T03:00:00+03:00","UF_CRM_14_MOD_WAIT":"2026-09-10T03:00:00+03:00","UF_CRM_14_MOD_APPROVE":"2026-09-10T03:00:00+03:00","UF_CRM_14_MOD_DAYS_CREATE":35,"UF_CRM_14_MOD_CREATOR_USER":22,"UF_CRM_14_MOD_CREATOR_COMPANY":"8","UF_CRM_14_MOD_CREATOR_CONTACT":["10"],"UF_CRM_14_MOD_TASK_ID":626,"UF_CRM_14_MOD_FREEZ_STAGE":"Основная\/Ожидание","UF_CRM_14_MOD_ACTIV_INPUT":"","UF_CRM_14_MOD_ACTIV_TXTLAST":"не направлены ИГЭИ ждем справок для полного комплекта выполнения ИИ.","UF_CRM_14_MOD_ACTIV_DLAST":"2026-08-16T03:00:00+03:00","UF_CRM_14_MOD_ACTIV_PROCESS":["16.08.2026 22:09:24: не направлены ИГЭИ ждем справок для полного комплекта выполнения ИИ."],"UF_CRM_14_MOD_PERCENT":0,"UF_CRM_14_MOD_FILES":[]}},"q14":{"item":{"id":220,"xmlId":"","title":"0001-2.1-ПД_02-ПЗ","createdBy":1,"updatedBy":0,"movedBy":1,"createdTime":"2026-08-19T20:04:04+03:00","updatedTime":"2026-08-19T20:45:39+03:00","movedTime":"2026-08-19T20:04:04+03:00","categoryId":20,"opened":"N","stageId":"DT1050_20:NEW","previousStageId":"","begindate":"2026-08-19T03:00:00+03:00","closedate":"2026-08-26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-19T20:04:04+03:00","lastCommunicationTime":null,"lastCommunicationCallTime":null,"lastCommunicationEmailTime":null,"lastCommunicationImolTime":null,"lastCommunicationWebformTime":null,"parentId1038":12,"parentId1042":32,"utmSource":null,"utmMedium":null,"utmCampaign":null,"utmContent":null,"utmTerm":null,"observers":[],"contactIds":[],"entityTypeId":1050,"UF_CRM_14_MOD_NUM":"02","UF_CRM_14_MOD_SNAME":"ПЗ","UF_CRM_14_MOD_DAY2_RUN":0,"UF_CRM_14_MOD_CHECK":"2026-08-01T03:00:00+03:00","UF_CRM_14_MOD_CREATE":"2026-09-30T03:00:00+03:00","UF_CRM_14_MOD_DAY2_EDIT":0,"UF_CRM_14_MOD_DAY2_WAIT":0,"UF_CRM_14_MOD_DAY2_APPROVE":0,"UF_CRM_14_MOD_RUN":"2026-08-01T03:00:00+03:00","UF_CRM_14_MOD_EDIT":"2026-09-30T03:00:00+03:00","UF_CRM_14_MOD_WAIT":"2026-09-30T03:00:00+03:00","UF_CRM_14_MOD_APPROVE":"2026-09-30T03:00:00+03:00","UF_CRM_14_MOD_DAYS_CREATE":61,"UF_CRM_14_MOD_CREATOR_USER":22,"UF_CRM_14_MOD_CREATOR_COMPANY":"8","UF_CRM_14_MOD_CREATOR_CONTACT":["10"],"UF_CRM_14_MOD_TASK_ID":630,"UF_CRM_14_MOD_FREEZ_STAGE":"Основная\/Запуск","UF_CRM_14_MOD_ACTIV_INPUT":"","UF_CRM_14_MOD_ACTIV_TXTLAST":"","UF_CRM_14_MOD_ACTIV_DLAST":null,"UF_CRM_14_MOD_ACTIV_PROCESS":[],"UF_CRM_14_MOD_PERCENT":0,"UF_CRM_14_MOD_FILES":[]}},"q15":{"item":{"id":222,"xmlId":"","title":"0001-2.1-ПД_03-ПЗУ","createdBy":1,"updatedBy":0,"movedBy":1,"createdTime":"2026-08-19T20:06:24+03:00","updatedTime":"2026-08-19T20:45:39+03:00","movedTime":"2026-08-19T20:06:24+03:00","categoryId":20,"opened":"N","stageId":"DT1050_20:NEW","previousStageId":"","begindate":"2026-08-19T03:00:00+03:00","closedate":"2026-08-26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-19T20:06:24+03:00","lastCommunicationTime":null,"lastCommunicationCallTime":null,"lastCommunicationEmailTime":null,"lastCommunicationImolTime":null,"lastCommunicationWebformTime":null,"parentId1038":12,"parentId1042":32,"utmSource":null,"utmMedium":null,"utmCampaign":null,"utmContent":null,"utmTerm":null,"observers":[],"contactIds":[],"entityTypeId":1050,"UF_CRM_14_MOD_NUM":"03","UF_CRM_14_MOD_SNAME":"ПЗУ","UF_CRM_14_MOD_DAY2_RUN":0,"UF_CRM_14_MOD_CHECK":"2026-08-01T03:00:00+03:00","UF_CRM_14_MOD_CREATE":"2026-09-30T03:00:00+03:00","UF_CRM_14_MOD_DAY2_EDIT":0,"UF_CRM_14_MOD_DAY2_WAIT":0,"UF_CRM_14_MOD_DAY2_APPROVE":0,"UF_CRM_14_MOD_RUN":"2026-08-01T03:00:00+03:00","UF_CRM_14_MOD_EDIT":"2026-09-30T03:00:00+03:00","UF_CRM_14_MOD_WAIT":"2026-09-30T03:00:00+03:00","UF_CRM_14_MOD_APPROVE":"2026-09-30T03:00:00+03:00","UF_CRM_14_MOD_DAYS_CREATE":61,"UF_CRM_14_MOD_CREATOR_USER":22,"UF_CRM_14_MOD_CREATOR_COMPANY":"8","UF_CRM_14_MOD_CREATOR_CONTACT":["10"],"UF_CRM_14_MOD_TASK_ID":632,"UF_CRM_14_MOD_FREEZ_STAGE":"Основная\/Запуск","UF_CRM_14_MOD_ACTIV_INPUT":"","UF_CRM_14_MOD_ACTIV_TXTLAST":"","UF_CRM_14_MOD_ACTIV_DLAST":null,"UF_CRM_14_MOD_ACTIV_PROCESS":[],"UF_CRM_14_MOD_PERCENT":0,"UF_CRM_14_MOD_FILES":[]}},"q16":{"item":{"id":224,"xmlId</t>
  </si>
  <si>
    <t>{"result":{"result":{"q1":{"item":{"id":193,"xmlId":"","title":"0001-1-ИИ_01-Подготовка","createdBy":1,"updatedBy":0,"movedBy":1,"createdTime":"2026-08-09T11:13:11+03:00","updatedTime":"2026-08-20T14:23:13+03:00","movedTime":"2026-08-20T14:23:12+03:00","categoryId":20,"opened":"N","stageId":"DT1050_20:SUCCESS","previousStageId":"DT1050_20:CLIENT","begindate":"2026-08-09T03:00:00+03:00","closedate":"2026-08-16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-09T11:13:11+03:00","lastCommunicationTime":null,"lastCommunicationCallTime":null,"lastCommunicationEmailTime":null,"lastCommunicationImolTime":null,"lastCommunicationWebformTime":null,"parentId1038":12,"parentId1042":30,"utmSource":null,"utmMedium</t>
  </si>
  <si>
    <t>{"result":{"result":{"q51":{"item":{"id":286,"xmlId":"","title":"0001-3-ГГЭ_12-ИОС5.2-ВОЛС","createdBy":1,"updatedBy":0,"movedBy":1,"createdTime":"2026-08-19T20:33:05+03:00","updatedTime":"2026-08-19T20:45:44+03:00","movedTime":"2026-08-19T20:33:05+03:00","categoryId":20,"opened":"N","stageId":"DT1050_20:NEW","previousStageId":"","begindate":"2026-08-19T03:00:00+03:00","closedate":"2026-08-26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-19T20:33:05+03:00","lastCommunicationTime":null,"lastCommunicationCallTime":null,"lastCommunicationEmailTime":null,"lastCommunicationImolTime":null,"lastCommunicationWebformTime":null,"parentId1038":12,"parentId1042":36,"utmSource":null,"utmMedium":null,"utmCampaign":null,"utmContent":null,"utmTerm":null,"observers":[],"contactIds":[],"entityTypeId":1050,"UF_CRM_14_MOD_NUM":"12","UF_CRM_14_MOD_SNAME":"ИОС5.2-ВОЛС","UF_CRM_14_MOD_DAY2_RUN":0,"UF_CRM_14_MOD_CHECK":"2026-10-15T03:00:00+03:00","UF_CRM_14_MOD_CREATE":"2026-12-25T03:00:00+03:00","UF_CRM_14_MOD_DAY2_EDIT":0,"UF_CRM_14_MOD_DAY2_WAIT":0,"UF_CRM_14_MOD_DAY2_APPROVE":0,"UF_CRM_14_MOD_RUN":"2026-10-15T03:00:00+03:00","UF_CRM_14_MOD_EDIT":"2026-12-25T03:00:00+03:00","UF_CRM_14_MOD_WAIT":"2026-12-25T03:00:00+03:00","UF_CRM_14_MOD_APPROVE":"2026-12-25T03:00:00+03:00","UF_CRM_14_MOD_DAYS_CREATE":72,"UF_CRM_14_MOD_CREATOR_USER":22,"UF_CRM_14_MOD_CREATOR_COMPANY":"8","UF_CRM_14_MOD_CREATOR_CONTACT":["10"],"UF_CRM_14_MOD_TASK_ID":696,"UF_CRM_14_MOD_FREEZ_STAGE":"Основная\/Запуск","UF_CRM_14_MOD_ACTIV_INPUT":"","UF_CRM_14_MOD_ACTIV_TXTLAST":"","UF_CRM_14_MOD_ACTIV_DLAST":null,"UF_CRM_14_MOD_ACTIV_PROCESS":[],"UF_CRM_14_MOD_PERCENT":0,"UF_CRM_14_MOD_FILES":[]}},"q52":{"item":{"id":288,"xmlId":"","title":"0001-3-ГГЭ_13-АСУТП","createdBy":1,"updatedBy":0,"movedBy":1,"createdTime":"2026-08-19T20:33:38+03:00","updatedTime":"2026-08-19T20:45:44+03:00","movedTime":"2026-08-19T20:33:38+03:00","categoryId":20,"opened":"N","stageId":"DT1050_20:NEW","previousStageId":"","begindate":"2026-08-19T03:00:00+03:00","closedate":"2026-08-26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-19T20:33:38+03:00","lastCommunicationTime":null,"lastCommunicationCallTime":null,"lastCommunicationEmailTime":null,"lastCommunicationImolTime":null,"lastCommunicationWebformTime":null,"parentId1038":12,"parentId1042":36,"utmSource":null,"utmMedium":null,"utmCampaign":null,"utmContent":null,"utmTerm":null,"observers":[],"contactIds":[],"entityTypeId":1050,"UF_CRM_14_MOD_NUM":"13","UF_CRM_14_MOD_SNAME":"АСУТП","UF_CRM_14_MOD_DAY2_RUN":0,"UF_CRM_14_MOD_CHECK":"2026-10-15T03:00:00+03:00","UF_CRM_14_MOD_CREATE":"2026-12-25T03:00:00+03:00","UF_CRM_14_MOD_DAY2_EDIT":0,"UF_CRM_14_MOD_DAY2_WAIT":0,"UF_CRM_14_MOD_DAY2_APPROVE":0,"UF_CRM_14_MOD_RUN":"2026-10-15T03:00:00+03:00","UF_CRM_14_MOD_EDIT":"2026-12-25T03:00:00+03:00","UF_CRM_14_MOD_WAIT":"2026-12-25T03:00:00+03:00","UF_CRM_14_MOD_APPROVE":"2026-12-25T03:00:00+03:00","UF_CRM_14_MOD_DAYS_CREATE":72,"UF_CRM_14_MOD_CREATOR_USER":22,"UF_CRM_14_MOD_CREATOR_COMPANY":"8","UF_CRM_14_MOD_CREATOR_CONTACT":["10"],"UF_CRM_14_MOD_TASK_ID":698,"UF_CRM_14_MOD_FREEZ_STAGE":"Основная\/Запуск","UF_CRM_14_MOD_ACTIV_INPUT":"","UF_CRM_14_MOD_ACTIV_TXTLAST":"","UF_CRM_14_MOD_ACTIV_DLAST":null,"UF_CRM_14_MOD_ACTIV_PROCESS":[],"UF_CRM_14_MOD_PERCENT":0,"UF_CRM_14_MOD_FILES":[]}},"q53":{"item":{"id":290,"xmlId":"","title":"0001-3-ГГЭ_14-ПОС","createdBy":1,"updatedBy":0,"movedBy":1,"createdTime":"2026-08-19T20:34:04+03:00","updatedTime":"2026-08-19T20:45:45+03:00","movedTime":"2026-08-19T20:34:04+03:00","categoryId":20,"opened":"N","stageId":"DT1050_20:NEW","previousStageId":"","begindate":"2026-08-19T03:00:00+03:00","closedate":"2026-08-26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-19T20:34:04+03:00","lastCommunicationTime":null,"lastCommunicationCallTime":null,"lastCommunicationEmailTime":null,"lastCommunicationImolTime":null,"lastCommunicationWebformTime":null,"parentId1038":12,"parentId1042":36,"utmSource":null,"utmMedium":null,"utmCampaign":null,"utmContent":null,"utmTerm":null,"observers":[],"contactIds":[],"entityTypeId":1050,"UF_CRM_14_MOD_NUM":"14","UF_CRM_14_MOD_SNAME":"ПОС","UF_CRM_14_MOD_DAY2_RUN":0,"UF_CRM_14_MOD_CHECK":"2026-10-15T03:00:00+03:00","UF_CRM_14_MOD_CREATE":"2026-12-25T03:00:00+03:00","UF_CRM_14_MOD_DAY2_EDIT":0,"UF_CRM_14_MOD_DAY2_WAIT":0,"UF_CRM_14_MOD_DAY2_APPROVE":0,"UF_CRM_14_MOD_RUN":"2026-10-15T03:00:00+03:00","UF_CRM_14_MOD_EDIT":"2026-12-25T03:00:00+03:00","UF_CRM_14_MOD_WAIT":"2026-12-25T03:00:00+03:00","UF_CRM_14_MOD_APPROVE":"2026-12-25T03:00:00+03:00","UF_CRM_14_MOD_DAYS_CREATE":72,"UF_CRM_14_MOD_CREATOR_USER":22,"UF_CRM_14_MOD_CREATOR_COMPANY":"8","UF_CRM_14_MOD_CREATOR_CONTACT":["10"],"UF_CRM_14_MOD_TASK_ID":700,"UF_CRM_14_MOD_FREEZ_STAGE":"Основная\/Запуск","UF_CRM_14_MOD_ACTIV_INPUT":"","UF_CRM_14_MOD_ACTIV_TXTLAST":"","UF_CRM_14_MOD_ACTIV_DLAST":null,"UF_CRM_14_MOD_ACTIV_PROCESS":[],"UF_CRM_14_MOD_PERCENT":0,"UF_CRM_14_MOD_FILES":[]}},"q54":{"item":{"id":292,"xmlId":"","title":"0001-3-ГГЭ_15-ООС","createdBy":1,"updatedBy":0,"movedBy":1,"createdTime":"2026-08-19T20:34:29+03:00","updatedTime":"2026-08-19T20:45:56+03:00","movedTime":"2026-08-19T20:34:29+03:00","categoryId":20,"opened":"N","stageId":"DT1050_20:NEW","previousStageId":"","begindate":"2026-08-19T03:00:00+03:00","closedate":"2026-08-26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-19T20:34:29+03:00","lastCommunicationTime":null,"lastCommunicationCallTime":null,"lastCommunicationEmailTime":null,"lastCommunicationImolTime":null,"lastCommunicationWebformTime":null,"parentId1038":12,"parentId1042":36,"utmSource":null,"utmMedium":null,"utmCampaign":null,"utmContent":null,"utmTerm":null,"observers":[],"contactIds":[],"entityTypeId":1050,"UF_CRM_14_MOD_NUM":"15","UF_CRM_14_MOD_SNAME":"ООС","UF_CRM_14_MOD_DAY2_RUN":0,"UF_CRM_14_MOD_CHECK":"2026-10-15T03:00:00+03:00","UF_CRM_14_MOD_CREATE":"2026-12-25T03:00:00+03:00","UF_CRM_14_MOD_DAY2_EDIT":0,"UF_CRM_14_MOD_DAY2_WAIT":0,"UF_CRM_14_MOD_DAY2_APPROVE":0,"UF_CRM_14_MOD_RUN":"2026-10-15T03:00:00+03:00","UF_CRM_14_MOD_EDIT":"2026-12-25T03:00:00+03:00","UF_CRM_14_MOD_WAIT":"2026-12-25T03:00:00+03:00","UF_CRM_14_MOD_APPROVE":"2026-12-25T03:00:00+03:00","UF_CRM_14_MOD_DAYS_CREATE":72,"UF_CRM_14_MOD_CREATOR_USER":22,"UF_CRM_14_MOD_CREATOR_COMPANY":"8","UF_CRM_14_MOD_CREATOR_CONTACT":["10"],"UF_CRM_14_MOD_TASK_ID":702,"UF_CRM_14_MOD_FREEZ_STAGE":"Основная\/Запуск","UF_CRM_14_MOD_ACTIV_INPUT":"","UF_CRM_14_MOD_ACTIV_TXTLAST":"","UF_CRM_14_MOD_ACTIV_DLAST":null,"UF_CRM_14_MOD_ACTIV_PROCESS":[],"UF_CRM_14_MOD_PERCENT":0,"UF_CRM_14_MOD_FILES":[]}},"q55":{"item":{"id":294,"xmlId":"","title":"0001-3-ГГЭ_16-МОПБ","createdBy":1,"updatedBy":0,"movedBy":1,"createdTime":"2026-08-19T20:34:58+03:00","updatedTime":"2026-08-19T20:45:56+03:00","movedTime":"2026-08-19T20:34:58+03:00","categoryId":20,"opened":"N","stageId":"DT1050_20:NEW","previousStageId":"","begindate":"2026-08-19T03:00:00+03:00","closedate":"2026-08-26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-19T20:34:58+03:00","lastCommunicationTime":null,"lastCommunicationCallTime":null,"lastCommunicationEmailTime":null,"lastCommunicationImolTime":null,"lastCommunicationWebformTime":null,"parentId1038":12,"parentId1042":36,"utmSource":null,"utmMedium":null,"utmCampaign":null,"utmContent":null,"utmTerm":null,"observers":[],"contactIds":[],"entityTypeId":1050,"UF_CRM_14_MOD_NUM":"16","UF_CRM_14_MOD_SNAME":"МОПБ","UF_CRM_14_MOD_DAY2_RUN":0,"UF_CRM_14_MOD_CHECK":"2026-10-15T03:00:00+03:00","UF_CRM_14_MOD_CREATE":"2026-12-25T03:00:00+03:00","UF_CRM_14_MOD_DAY2_EDIT":0,"UF_CRM_14_MOD_DAY2_WAIT":0,"UF_CRM_14_MOD_DAY2_APPROVE":0,"UF_CRM_14_MOD_RUN":"2026-10-15T03:00:00+03:00","UF_CRM_14_MOD_EDIT":"2026-12-25T03:00:00+03:00","UF_CRM_14_MOD_WAIT":"2026-12-25T03:00:00+03:00","UF_CRM_14_MOD_APPROVE":"2026-12-25T03:00:00+03:00","UF_CRM_14_MOD_DAYS_CREATE":72,"UF_CRM_14_MOD_CREATOR_USER":22,"UF_CRM_14_MOD_CREATOR_COMPANY":"8","UF_CRM_14_MOD_CREATOR_CONTACT":["10"],"UF_CRM_14_MOD_TASK_ID":704,"UF_CRM_14_MOD_FREEZ_STAGE":"Основная\/Запуск","UF_CRM_14_MOD_ACTIV_INPUT":"","UF_CRM_14_MOD_ACTIV_TXTLAST":"","UF_CRM_14_MOD_ACTIV_DLAST":null,"UF_CRM_14_MOD_ACTIV_PROCESS":[],"UF_CRM_14_MOD_PERCENT":0,"UF_CRM_14_MOD_FILES":[]}},"q56":{"item":{"id":296,"xmlId":"","title":"0001-3-ГГЭ_17-ТБЭ","createdBy":1,"updatedBy":0,"movedBy":1,"createdTime":"2026-08-19T20:35:42+03:00","updatedTime":"2026-08-19T20:45:56+03:00","movedTime":"2026-08-19T20:35:42+03:00","categoryId":20,"opened":"N","stageId":"DT1050_20:NEW","previousStageId":"","begindate":"2026-08-19T03:00:00+03:00","closedate":"2026-08-26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-19T20:35:42+03:00","lastCommunicationTime":null,"lastCommunicationCallTime":null,"lastCommunicationEmailTime":null,"lastCommunicationImolTime":null,"lastCommunicationWebformTime":null,"parentId1038":12,"parentId1042":36,"utmSource":null,"utmMedium":null,"utmCampaign":null,"utmContent":null,"utmTerm":null,"observers":[],"contactIds":[],"entityTypeId":1050,"UF_CRM_14_MOD_NUM":"17","UF_CRM_14_MOD_SNAME":"ТБЭ","UF_CRM_14_MOD_DAY2_RUN":0,"UF_CRM_14_MOD_CHECK":"2026-10-15T03:00:00+03:00","UF_CRM_14_MOD_CREATE":"2026-12-25T03:00:00+03:00","UF_CRM_14_MOD_DAY2_EDIT":0,"UF_CRM_14_MOD_DAY2_WAIT":0,"UF_CRM_14_MOD_DAY2_APPROVE":0,"UF_CRM_14_MOD_RUN":"2026-10-15T03:00:00+03:00","UF_CRM_14_MOD_EDIT":"2026-12-25T03:00:00+03:00","UF_CRM_14_MOD_WAIT":"2026-12-25T03:00:00+03:00","UF_CRM_14_MOD_APPROVE":"2026-12-25T03:00:00+03:00","UF_CRM_14_MOD_DAYS_CREATE":72,"UF_CRM_14_MOD_CREATOR_USER":22,"UF_CRM_14_MOD_CREATOR_COMPANY":"8","UF_CRM_14_MOD_CREATOR_CONTACT":["10"],"UF_CRM_14_MOD_TASK_ID":706,"UF_CRM_14_MOD_FREEZ_STAGE":"Основная\/Запуск","UF_CRM_14_MOD_ACTIV_INPUT":"","UF_CRM_14_MOD_ACTIV_TXTLAST":"","UF_CRM_14_MOD_ACTIV_DLAST":null,"UF_CRM_14_MOD_ACTIV_PROCESS":[],"UF_CRM_14_MOD_PERCENT":0,"UF_CRM_14_MOD_FILES":[]}},"q57":{"item":{"id":264,"xmlId":"","title":"0001-3-ГГЭ_18-СП","createdBy":1,"updatedBy":0,"movedBy":1,"createdTime":"2026-08-19T20:25:28+03:00","updatedTime":"2026-08-21T11:44:03+03:00","movedTime":"2026-08-19T20:25:28+03:00","categoryId":20,"opened":"N","stageId":"DT1050_20:NEW","previousStageId":"","begindate":"2026-08-19T03:00:00+03:00","closedate":"2026-08-26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-19T20:25:28+03:00","lastCommunicationTime":null,"lastCommunicationCallTime":null,"lastCommunicationEmailTime":null,"lastCommunicationImolTime":null,"lastCommunicationWebformTime":null,"parentId1038":12,"parentId1042":36,"utmSource":null,"utmMedium":null,"utmCampaign":null,"utmContent":null,"utmTerm":null,"observers":[],"contactIds":[],"entityTypeId":1050,"UF_CRM_14_MOD_NUM":"18","UF_CRM_14_MOD_SNAME":"СП","UF_CRM_14_MOD_DAY2_RUN":0,"UF_CRM_14_MOD_CHECK":"2026-10-15T03:00:00+03:00","UF_CRM_14_MOD_CREATE":"2026-12-25T03:00:00+03:00","UF_CRM_14_MOD_DAY2_EDIT":0,"UF_CRM_14_MOD_DAY2_WAIT":0,"UF_CRM_14_MOD_DAY2_APPROVE":0,"UF_CRM_14_MOD_RUN":"2026-10-15T03:00:00+03:00","UF_CRM_14_MOD_EDIT":"2026-12-25T03:00:00+03:00","UF_CRM_14_MOD_WAIT":"2026-12-25T03:00:00+03:00","UF_CRM_14_MOD_APPROVE":"2026-12-25T03:00:00+03:00","UF_CRM_14_MOD_DAYS_CREATE":72,"UF_CRM_14_MOD_CREATOR_USER":22,"UF_CRM_14_MOD_CREATOR_COMPANY":"8","UF_CRM_14_MOD_CREATOR_CONTACT":["10"],"UF_CRM_14_MOD_TASK_ID":674,"UF_CRM_14_MOD_FREEZ_STAGE":"Основная\/Запуск","UF_CRM_14_MOD_ACTIV_INPUT":"","UF_CRM_14_MOD_ACTIV_TXTLAST":"","UF_CRM_14_MOD_ACTIV_DLAST":null,"UF_CRM_14_MOD_ACTIV_PROCESS":[],"UF_CRM_14_MOD_PERCENT":0,"UF_CRM_14_MOD_FILES":[]}},"q58":{"item":{"id":298,"xmlId":"","title":"0001-3-ГГЭ_19-Расчеты ЭМ","createdBy":1,"updatedBy":0,"movedBy":1,"createdTime":"2026-08-19T20:36:13+03:00","updatedTime":"2026-08-21T11:44:24+03:00","movedTime":"2026-08-19T20:36:13+03:00","categoryId":20,"opened":"N","stageId":"DT1050_20:NEW","previousStageId":"","begindate":"2026-08-19T03:00:00+03:00","closedate":"2026-08-26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-19T20:36:13+03:00","lastCommunicationTime":null,"lastCommunicationCallTime":null,"lastCommunicationEmailTime":null,"lastCommunicationImolTime":null,"lastCommunicationWebformTime":null,"parentId1038":12,"parentId1042":36,"utmSource":null,"utmMedium":null,"utmCampaign":null,"utmContent":null,"utmTerm":null,"observers":[],"contactIds":[],"entityTypeId":1050,"UF_CRM_14_MOD_NUM":"19","UF_CRM_14_MOD_SNAME":"Расчеты ЭМ","UF_CRM_14_MOD_DAY2_RUN":0,"UF_CRM_14_MOD_CHECK":"2026-10-15T03:00:00+03:00","UF_CRM_14_MOD_CREATE":"2026-12-25T03:00:00+03:00","UF_CRM_14_MOD_DAY2_EDIT":0,"UF_CRM_14_MOD_DAY2_WAIT":0,"UF_CRM_14_MOD_DAY2_APPROVE":0,"UF_CRM_14_MOD_RUN":"2026-10-15T03:00:00+03:00","UF_CRM_14_MOD_EDIT":"2026-12-25T03:00:00+03:00","UF_CRM_14_MOD_WAIT":"2026-12-25T03:00:00+03:00","UF_CRM_14_MOD_APPROVE":"2026-12-25T03:00:00+03:00","UF_CRM_14_MOD_DAYS_CREATE":72,"UF_CRM_14_MOD_CREATOR_USER":22,"UF_CRM_14_MOD_CREATOR_COMPANY":"8","UF_CRM_14_MOD_CREATOR_CONTACT":["10"],"UF_CRM_14_MOD_TASK_ID":708,"UF_CRM_14_MOD_FREEZ_STAGE":"Основная\/Запуск","UF_CRM_14_MOD_ACTIV_INPUT":"","UF_CRM_14_MOD_ACTIV_TXTLAST":"","UF_CRM_14_MOD_ACTIV_DLAST":null,"UF_CRM_14_MOD_ACTIV_PROCESS":[],"UF_CRM_14_MOD_PERCENT":0,"UF_CRM_14_MOD_FILES":[]}},"q59":{"item":{"id":314,"xmlId":"","title":"0001-3-ГГЭ_20-Инф Без","createdBy":1,"updatedBy":1,"movedBy":1,"createdTime":"2026-08-21T11:45:05+03:00","updatedTime":"2026-08-21T11:55:52+03:00","movedTime":"2026-08-21T11:45:05+03:00","categoryId":20,"opened":"N","stageId":"DT1050_20:NEW","previousStageId":"","begindate":"2026-08-21T03:00:00+03:00","closedate":"2026-08-28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-21T11:45:05+03:00","lastCommunicationTime":null,"lastCommunicationCallTime":null,"lastCommunicationEmailTime":null,"lastCommunicationImolTime":null,"lastCommunicationWebformTime":null,"parentId1038":12,"parentId1042":36,"utmSource":null,"utmMedium":null,"utmCampaign":null,"utmContent":null,"utmTerm":null,"observers":[],"contactIds":[],"entityTypeId":1050,"UF_CRM_14_MOD_NUM":"20","UF_CRM_14_MOD_SNAME":"Инф Без","UF_CRM_14_MOD_DAY2_RUN":0,"UF_CRM_14_MOD_CHECK":"2026-10-15T03:00:00+03:00","UF_CRM_14_MOD_CREATE":"2026-12-25T03:00:00+03:00","UF_CRM_14_MOD_DAY2_EDIT":0,"UF_CRM_14_MOD_DAY2_WAIT":0,"UF_CRM_14_MOD_DAY2_APPROVE":0,"UF_CRM_14_MOD_RUN":"2026-11-01T03:00:00+03:00","UF_CRM_14_MOD_EDIT":"2027-01-30T03:00:00+03:00","UF_CRM_14_MOD_WAIT":"2027-01-30T03:00:00+03:00","UF_CRM_14_MOD_APPROVE":"2027-01-30T03:00:00+03:00","UF_CRM_14_MOD_DAYS_CREATE":91,"UF_CRM_14_MOD_CREATOR_USER":22,"UF_CRM_14_MOD_CREATOR_COMPANY":"8","UF_CRM_14_MOD_CREATOR_CONTACT":["10"],"UF_CRM_14_MOD_TASK_ID":740,"UF_CRM_14_MOD_FREEZ_STAGE":"Основная\/Запуск","UF_CRM_14_MOD_ACTIV_INPUT":"","UF_CRM_14_MOD_ACTIV_TXTLAST":"","UF_CRM_14_MOD_ACTIV_DLAST":null,"UF_CRM_14_MOD_ACTIV_PROCESS":[],"UF_CRM_14_MOD_PERCENT":0,"UF_CRM_14_MOD_FILES":[]}},"q60":{"item":{"id":316,"xmlId":"","title":"0001-3-ГГЭ_21-АСМиТД","createdBy":1,"updatedBy":1,"movedBy":1,"createdTime":"2026-08-21T11:45:55+03:00","updatedTime":"2026-08-21T11:55:52+03:00","movedTime":"2026-08-21T11:45:55+03:00","categoryId":20,"opened":"N","stageId":"DT1050_20:NEW","previousStageId":"","begindate":"2026-08-21T03:00:00+03:00","closedate":"2026-08-28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-21T11:45:55+03:00","lastCommunicationTime":null,"lastCommunicationCallTime":null,"lastCommunicationEmailTime":null,"lastCommunicationImolTime":null,"lastCommunicationWebformTime":null,"parentId1038":12,"parentId1042":36,"utmSource":null,"utmMedium":null,"utmCampaign":null,"utmContent":null,"utmTerm":null,"observers":[],"contactIds":[],"entityTypeId":1050,"UF_CRM_14_MOD_NUM":"21","UF_CRM_14_MOD_SNAME":"АСМиТД","UF_CRM_14_MOD_DAY2_RUN":0,"UF_CRM_14_MOD_CHECK":"2026-10-15T03:00:00+03:00","UF_CRM_14_MOD_CREATE":"2026-12-25T03:00:00+03:00","UF_CRM_14_MOD_DAY2_EDIT":0,"UF_CRM_14_MOD_DAY2_WAIT":0,"UF_CRM_14_MOD_DAY2_APPROVE":0,"UF_CRM_14_MOD_RUN":"2026-11-01T03:00:00+03:00","UF_CRM_14_MOD_EDIT":"2027-01-30T03:00:00+03:00","UF_CRM_14_MOD_WAIT":"2027-01-30T03:00:00+03:00","UF_CRM_14_MOD_APPROVE":"2027-01-30T03:00:00+03:00","UF_CRM_14_MOD_DAYS_CREATE":91,"UF_CRM_14_MOD_CREATOR_USER":22,"UF_CRM_14_MOD_CREATOR_COMPANY":"8","UF_CRM_14_MOD_CREATOR_CONTACT":["10"],"UF_CRM_14_MOD_TASK_ID":742,"UF_CRM_14_MOD_FREEZ_STAGE":"Основная\/Запуск","UF_CRM_14_MOD_ACTIV_INPUT":"","UF_CRM_14_MOD_ACTIV_TXTLAST":"","UF_CRM_14_MOD_ACTIV_DLAST":null,"UF_CRM_14_MOD_ACTIV_PROCESS":[],"UF_CRM_14_MOD_PERCENT":0,"UF_CRM_14_MOD_FILES":[]}},"q61":{"item":{"id":318,"xmlId":"","title":"0001-3-ГГЭ_22-СЗЗ","createdBy":1,"updatedBy":1,"movedBy":1,"createdTime":"2026-08-21T11:46:27+03:00","updatedTime":"2026-08-21T11:55:53+03:00","movedTime":"2026-08-21T11:46:27+03:00","categoryId":20,"opened":"N","stageId":"DT1050_20:NEW","previousStageId":"","begindate":"2026-08-21T03:00:00+03:00","closedate":"2026-08-28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-21T11:46:27+03:00","lastCommunicationTime":null,"lastCommunicationCallTime":null,"lastCommunicationEmailTime":null,"lastCommunicationImolTime":null,"lastCommunicationWebformTime":null,"parentId1038":12,"parentId1042":36,"utmSource":null,"utmMedium":null,"utmCampaign":null,"utmContent":null,"utmTerm":null,"observers":[],"contactIds":[],"entityTypeId":1050,"UF_CRM_14_MOD_NUM":"22","UF_CRM_14_MOD_SNAME":"СЗЗ","UF_CRM_14_MOD_DAY2_RUN":0,"UF_CRM_14_MOD_CHECK":"2026-10-15T03:00:00+03:00","UF_CRM_14_MOD_CREATE":"2026-12-25T03:00:00+03:00","UF_CRM_14_MOD_DAY2_EDIT":0,"UF_CRM_14_MOD_DAY2_WAIT":0,"UF_CRM_14_MOD_DAY2_APPROVE":0,"UF_CRM_14_MOD_RUN":"2026-11-01T03:00:00+03:00","UF_CRM_14_MOD_EDIT":"2027-01-30T03:00:00+03:00","UF_CRM_14_MOD_WAIT":"2027-01-30T03:00:00+03:00","UF_CRM_14_MOD_APPROVE":"2027-01-30T03:00:00+03:00","UF_CRM_14_MOD_DAYS_CREATE":91,"UF_CRM_14_MOD_CREATOR_USER":22,"UF_CRM_14_MOD_CREATOR_COMPANY":"8","UF_CRM_14_MOD_CREATOR_CONTACT":["10"],"UF_CRM_14_MOD_TASK_ID":744,"UF_CRM_14_MOD_FREEZ_STAGE":"Основная\/Запуск","UF_CRM_14_MOD_ACTIV_INPUT":"","UF_CRM_14_MOD_ACTIV_TXTLAST":"","UF_CRM_14_MOD_ACTIV_DLAST":null,"UF_CRM_14_MOD_ACTIV_PROCESS":[],"UF_CRM_14_MOD_PERCENT":0,"UF_CRM_14_MOD_FILES":[]}},"q62":{"item":{"id":320,"xmlId":"","title":"0001-3-ГГЭ_23-ГОЧС","createdBy":1,"updatedBy":1,"movedBy":1,"createdTime":"2026-08-21T11:46:53+03:00","updatedTime":"2026-08-21T11:55:53+03:00","movedTime":"2026-08-21T11:46:53+03:00","categoryId":20,"opened":"N","stageId":"DT1050_20:NEW","previousStageId":"","begindate":"2026-08-21T03:00:00+03:00","closedate":"2026-08-28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-21T11:46:53+03:00","lastCommunicationTime":null,"lastCommunicationCallTime":null,"lastCommunicationEmailTime":null,"lastCommunicationImolTime":null,"lastCommunicationWebformTime":null,"parentId1038":12,"parentId1042":36,"utmSource":null,"utmMedium":null,"utmCampaign":null,"utmContent":null,"utmTerm":null,"observers":[],"contactIds":[],"entityTypeId":1050,"UF_CRM_14_MOD_NUM":"23","UF_CRM_14_MOD_SNAME":"ГОЧС","UF_CRM_14_MOD_DAY2_RUN":0,"UF_CRM_14_MOD_CHECK":"2026-10-15T03:00:00+03:00","UF_CRM_14_MOD_CREATE":"2026-12-25T03:00:00+03:00","UF_CRM_14_MOD_DAY2_EDIT":0,"UF_CRM_14_MOD_DAY2_WAIT":0,"UF_CRM_14_MOD_DAY2_APPROVE":0,"UF_CRM_14_MOD_RUN":"2026-11-01T03:00:00+03:00","UF_CRM_14_MOD_EDIT":"2027-01-30T03:00:00+03:00","UF_CRM_14_MOD_WAIT":"2027-01-30T03:00:00+03:00","UF_CRM_14_MOD_APPROVE":"2027-01-30T03:00:00+03:00","UF_CRM_14_MOD_DAYS_CREATE":91,"UF_CRM_14_MOD_CREATOR_USER":22,"UF_CRM_14_MOD_CREATOR_COMPANY":"8","UF_CRM_14_MOD_CREATOR_CONTACT":["10"],"UF_CRM_14_MOD_TASK_ID":746,"UF_CRM_14_MOD_FREEZ_STAGE":"Основная\/Запуск","UF_CRM_14_MOD_ACTIV_INPUT":"","UF_CRM_14_MOD_ACTIV_TXTLAST":"","UF_CRM_14_MOD_ACTIV_DLAST":null,"UF_CRM_14_MOD_ACTIV_PROCESS":[],"UF_CRM_14_MOD_PERCENT":0,"UF_CRM_14_MOD_FILES":[]}},"q63":{"item":{"id":300,"xmlId":"","title":"0001-3-ГГЭ_24-СМ","createdBy":1,"updatedBy":0,"movedBy":1,"createdTime":"2026-08-19T20:36:40+03:00","updatedTime":"2026-08-21T11:44:39+03:00","movedTime":"2026-08-19T20:36:40+03:00","categoryId":20,"opened":"N","stageId":"DT1050_20:NEW","previousStageId":"","begindate":"2026-08-19T03:00:00+03:00","closedate":"2026-08-26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-19T20:36:40+03:00","lastCommunicationTime":null,"lastCommunicationCallTime":null,"lastCommunicationEmailTime":null,"lastCommunicationImolTime":null,"lastCommunicationWebformTime":null,"parentId1038":12,"parentId1042":36,"utmSource":null,"utmMedium":null,"utmCampaign":null,"utmContent":null,"utmTerm":null,"observers":[],"contactIds":[],"entityTypeId":1050,"UF_CRM_14_MOD_NUM":"24","UF_CRM_14_MOD_SNAME":"СМ","UF_CRM_14_MOD_DAY2_RUN":0,"UF_CRM_14_MOD_CHECK":"2026-10-15T03:00:00+03:00","UF_CRM_14_MOD_CREATE":"2026-12-25T03:00:00+03:00","UF_CRM_14_MOD_DAY2_EDIT":0,"UF_CRM_14_MOD_DAY2_WAIT":0,"UF_CRM_14_MOD_DAY2_APPROVE":0,"UF_CRM_14_MOD_RUN":"2026-10-15T03:00:00+03:00","UF_CRM_14_MOD_EDIT":"2026-12-25T03:00:00+03:00","UF_CRM_14_MOD_WAIT":"2026-12-25T03:00:00+03:00","UF_CRM_14_MOD_APPROVE":"2026-12-25T03:00:00+03:00","UF_CRM_14_MOD_DAYS_CREATE":72,"UF_CRM_14_MOD_CREATOR_USER":22,"UF_CRM_14_MOD_CREATOR_COMPANY":"8","UF_CRM_14_MOD_CREATOR_CONTACT":["10"],"UF_CRM_14_MOD_TASK_ID":710,"UF_CRM_14_MOD_FREEZ_STAGE":"Основная\/Запуск","UF_CRM_14_MOD_ACTIV_INPUT":"","UF_CRM_14_MOD_ACTIV_TXTLAST":"","UF_CRM_14_MOD_ACTIV_DLAST":null,"UF_CRM_14_MOD_ACTIV_PROCESS":[],"UF_CRM_14_MOD_PERCENT":0,"UF_CRM_14_MOD_FILES":[]}},"q64":{"item":{"id":302,"xmlId":"","title":"0001-4-ТЧКД_01-ТЧКД","createdBy":1,"updatedBy":1,"movedBy":1,"createdTime":"2026-08-19T20:37:22+03:00","updatedTime":"2026-08-20T15:07:38+03:00","movedTime":"2026-08-20T15:04:36+03:00","categoryId":20,"opened":"N","stageId":"DT1050_20:NEW","previousStageId":"DT1050_20:UC_PM02XS","begindate":"2026-08-19T03:00:00+03:00","closedate":"2026-08-26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-19T20:37:22+03:00","lastCommunicationTime":null,"lastCommunicationCallTime":null,"lastCommunicationEmailTime":null,"lastCommunicationImolTime":null,"lastCommunicationWebformTime":null,"parentId1038":12,"parentId1042":38,"utmSource":null,"utmMedium":null,"utmCampaign":null,"utmContent":null,"utmTerm":null,"observers":[],"contactIds":[],"entityTypeId":1050,"UF_CRM_14_MOD_NUM":"01","UF_CRM_14_MOD_SNAME":"ТЧКД","UF_CRM_14_MOD_DAY2_RUN":0,"UF_CRM_14_MOD_CHECK":"2026-12-25T03:00:00+03:00","UF_CRM_14_MOD_CREATE":"2027-01-29T03:00:00+03:00","UF_CRM_14_MOD_DAY2_EDIT":0,"UF_CRM_14_MOD_DAY2_WAIT":0,"UF_CRM_14_MOD_DAY2_APPROVE":0,"UF_CRM_14_MOD_RUN":"2026-12-25T03:00:00+03:00","UF_CRM_14_MOD_EDIT":"2027-01-29T03:00:00+03:00","UF_CRM_14_MOD_WAIT":"2027-01-29T03:00:00+03:00","UF_CRM_14_MOD_APPROVE":"2027-01-29T03:00:00+03:00","UF_CRM_14_MOD_DAYS_CREATE":36,"UF_CRM_14_MOD_CREATOR_USER":22,"UF_CRM_14_MOD_CREATOR_COMPANY":"8","UF_CRM_14_MOD_CREATOR_CONTACT":["10"],"UF_CRM_14_MOD_TASK_ID":728,"UF_CRM_14_MOD_FREEZ_STAGE":"Основная\/Запуск","UF_CRM_14_MOD_ACTIV_INPUT":"","UF_CRM_14_MOD_ACTIV_TXTLAST":"тест группы","UF_CRM_14_MOD_ACTIV_DLAST":"2026-08-20T03:00:00+03:00","UF_CRM_14_MOD_ACTIV_PROCESS":["20.08.2026 15:03:30: тест группы"],"UF_CRM_14_MOD_PERCENT":0,"UF_CRM_14_MOD_FILES":[]}},"q65":{"item":{"id":304,"xmlId":"","title":"0001-4-ТЧКД_02-Согласование ТЧКД","createdBy":1,"updatedBy":1,"movedBy":1,"createdTime":"2026-08-19T20:37:42+03:00","updatedTime":"2026-08-20T15:07:38+03:00","movedTime":"2026-08-20T15:04:38+03:00","categoryId":20,"opened":"N","stageId":"DT1050_20:NEW","previousStageId":"DT1050_20:UC_PM02XS","begindate":"2026-08-19T03:00:00+03:00","closedate":"2026-08-26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-19T20:37:42+03:00","lastCommunicationTime":null,"lastCommunicationCallTime":null,"lastCommunicationEmailTime":null,"lastCommunicationImolTime":null,"lastCommunicationWebformTime":null,"parentId1038":12,"parentId1042":38,"utmSource":null,"utmMedium":null,"utmCampaign":null,"utmContent":null,"utmTerm":null,"observers":[],"contactIds":[],"entityTypeId":1050,"UF_CRM_14_MOD_NUM":"02","UF_CRM_14_MOD_SNAME":"Согласование ТЧКД","UF_CRM_14_MOD_DAY2_RUN":0,"UF_CRM_14_MOD_CHECK":"2027-01-01T03:00:00+03:00","UF_CRM_14_MOD_CREATE":"2027-01-29T03:00:00+03:00","UF_CRM_14_MOD_DAY2_EDIT":0,"UF_CRM_14_MOD_DAY2_WAIT":0,"UF_CRM_14_MOD_DAY2_APPROVE":0,"UF_CRM_14_MOD_RUN":"2027-01-01T03:00:00+03:00","UF_CRM_14_MOD_EDIT":"2027-01-29T03:00:00+03:00","UF_CRM_14_MOD_WAIT":"2027-01-29T03:00:00+03:00","UF_CRM_14_MOD_APPROVE":"2027-01-29T03:00:00+03:00","UF_CRM_14_MOD_DAYS_CREATE":29,"UF_CRM_14_MOD_CREATOR_USER":22,"UF_CRM_14_MOD_CREATOR_COMPANY":"8","UF_CRM_14_MOD_CREATOR_CONTACT":["10"],"UF_CRM_14_MOD_TASK_ID":730,"UF_CRM_14_MOD_FREEZ_STAGE":"Основная\/Запуск","UF_CRM_14_MOD_ACTIV_INPUT":"","UF_CRM_14_MOD_ACTIV_TXTLAST":"тест группы","UF_CRM_14_MOD_ACTIV_DLAST":"2026-08-20T03:00:00+03:00","UF_CRM_14_MOD_ACTIV_PROCESS":["20.08.2026 15:03:31: тест группы"],"UF_CRM_14_MOD_PERCENT":0,"UF_CRM_14_MOD_FILES":[]}}},"result_error":[],"result_total":[],"result_next":[],"result_time":{"q51":{"start":1787302552,"finish":1787302552.450981,"duration":0.45098090171813965,"processing":0,"date_start":"2026-08-21T11:55:52+03:00","date_finish":"2026-08-21T11:55:52+03:00","operating_reset_at":1787303148,"operating":2.0467987060546875},"q52":{"start":1787302552,"finish":1787302552.46914,"duration":0.46914005279541016,"processing":0,"date_start":"2026-08-21T11:55:52+03:00","date_finish":"2026-08-21T11:55:52+03:00","operating_reset_at":1787303148,"operating":2.0467987060546875},"q53":{"start":1787302552,"finish":1787302552.48775,"duration":0.4877500534057617,"processing":0,"date_start":"2026-08-21T11:55:52+03:00","date_finish":"2026-08-21T11:55:52+03:00","operating_reset_at":1787303148,"operating":2.0467987060546875},"q54":{"start":1787302552,"finish":1787302552.504675,"duration":0.5046749114990234,"processing":0,"date_start":"2026-08-21T11:55:52+03:00","date_finish":"2026-08-21T11:55:52+03:00","operating_reset_at":1787303148,"operating":2.0467987060546875},"q55":{"start":1787302552,"finish":1787302552.523672,"duration":0.5236721038818359,"processing":0,"date_start":"2026-08-21T11:55:52+03:00","date_finish":"2026-08-21T11:55:52+03:00","operating_reset_at":1787303148,"operating":2.0467987060546875},"q56":{"start":1787302552,"finish":1787302552.540226,"duration":0.5402259826660156,"processing":0,"date_start":"2026-08-21T11:55:52+03:00","date_finish":"2026-08-21T11:55:52+03:00","operating_reset_at":1787303148,"operating":2.0467987060546875},"q57":{"start":1787302552,"finish":1787302552.556628,"duration":0.5566279888153076,"processing":0,"date_start":"2026-08-21T11:55:52+03:00","date_finish":"2026-08-21T11:55:52+03:00","operating_reset_at":1787303148,"operating":2.0467987060546875},"q58":{"start":1787302552,"finish":1787302552.573135,"duration":0.5731348991394043,"processing":0,"date_start":"2026-08-21T11:55:52+03:00","date_finish":"2026-08-21T11:55:52+03:00","operating_reset_at":1787303148,"operating":2.0467987060546875},"q59":{"start":1787302552,"finish":1787302552.959662,"duration":0.9596619606018066,"processing":0,"date_start":"2026-08-21T11:55:52+03:00","date_finish":"2026-08-21T11:55:52+03:00","operating_reset_at":1787303148,"operating":2.432100772857666},"q60":{"start":1787302552,"finish":1787302553.243332,"duration":1.2433319091796875,"processing":1,"date_start":"2026-08-21T11:55:52+03:00","date_finish":"2026-08-21T11:55:53+03:00","operating_reset_at":1787303148,"operating":2.714648723602295},"q61":{"start":1787302553,"finish":1787302553.439342,"duration":0.43934202194213867,"processing":0,"date_start":"2026-08-21T11:55:53+03:00","date_finish":"2026-08-21T11:55:53+03:00","operating_reset_at":1787303148,"operating":2.909414768218994},"q62":{"start":1787302553,"finish":1787302553.610074,"duration":0.6100740432739258,"processing":0,"date_start":"2026-08-21T11:55:53+03:00","date_finish":"2026-08-21T11:55:53+03:00","operating_reset_at":1787303148,"operating":3.0789318084716797},"q63":{"start":1787302553,"finish":1787302553.626401,"duration":0.6264009475708008,"processing":0,"date_start":"2026-08-21T11:55:53+03:00","date_finish":"2026-08-21T11:55:53+03:00","operating_reset_at":1787303148,"operating":3.0789318084716797},"q64":{"start":1787302553,"finish":1787302553.643192,"duration":0.6431920528411865,"processing":0,"date_start":"2026-08-21T11:55:53+03:00","date_finish":"2026-08-21T11:55:53+03:00","operating_reset_at":1787303148,"operating":3.0789318084716797},"q65":{"start":1787302553,"finish":1787302553.655454,"duration":0.6554539203643799,"processing":0,"date_s</t>
  </si>
  <si>
    <t>{"result":{"result":{"q51":{"item":{"id":286,"xmlId":"","title":"0001-3-ГГЭ_12-ИОС5.2-ВОЛС","createdBy":1,"updatedBy":0,"movedBy":1,"createdTime":"2026-08-19T20:33:05+03:00","updatedTime":"2026-08-19T20:45:44+03:00","movedTime":"2026-08-19T20:33:05+03:00","categoryId":20,"opened":"N","stageId":"DT1050_20:NEW","previousStageId":"","begindate":"2026-08-19T03:00:00+03:00","closedate":"2026-08-26T03:00:00+03:00","companyId":0,"contactId":0,"opportunity":0,"isManualOpportunity":"N","taxValue":0,"currencyId":"RUB","opportunityAccount":0,"taxValueAccount":0,"accountCurrencyId":"RUB","mycompanyId":0,"sourceId":"CALL","sourceDescription":"","webformId":0,"assignedById":1,"isRecurring":"N","lastActivityBy":1,"lastActivityTime":"2026-08-19T20:33:05+03:00","lastCommunicationTime":null,"lastCommunicationCallTime":null,"lastCommunicationEmailTime":null,"lastCommunicationImolTime":null,"lastCommunicationWebformTime":null,"parentId1038":12,"parentId1042":36,"utmSource":null,"utmMedium":null,"utmCamp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</si>
</sst>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6" x14ac:knownFonts="1">
    <font>
      <sz val="11"/>
      <color theme="1"/>
      <name val="Aptos Narrow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C00000"/>
      <name val="Calibri"/>
      <family val="2"/>
      <charset val="204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1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0" fontId="2" fillId="3" borderId="0" xfId="0" applyFont="1" applyFill="1" applyAlignment="1">
      <alignment vertical="center"/>
    </xf>
    <xf numFmtId="0" fontId="1" fillId="0" borderId="0" xfId="0" applyNumberFormat="1" applyFont="1" applyAlignment="1">
      <alignment vertical="center"/>
    </xf>
    <xf numFmtId="0" fontId="1" fillId="0" borderId="0" xfId="0" applyNumberFormat="1" applyFont="1"/>
    <xf numFmtId="14" fontId="1" fillId="2" borderId="1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 textRotation="45"/>
    </xf>
    <xf numFmtId="0" fontId="3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164" fontId="4" fillId="0" borderId="0" xfId="0" applyNumberFormat="1" applyFont="1" applyFill="1" applyAlignment="1">
      <alignment vertical="center"/>
    </xf>
    <xf numFmtId="0" fontId="1" fillId="0" borderId="0" xfId="0" applyFont="1" applyAlignment="1">
      <alignment vertical="center" wrapText="1"/>
    </xf>
    <xf numFmtId="0" fontId="1" fillId="0" borderId="0" xfId="0" applyNumberFormat="1" applyFont="1" applyAlignment="1">
      <alignment vertical="center" wrapText="1"/>
    </xf>
    <xf numFmtId="0" fontId="4" fillId="0" borderId="0" xfId="0" applyFont="1" applyFill="1" applyAlignment="1">
      <alignment vertical="center" wrapText="1"/>
    </xf>
    <xf numFmtId="164" fontId="1" fillId="0" borderId="0" xfId="0" applyNumberFormat="1" applyFont="1" applyFill="1" applyAlignment="1">
      <alignment vertical="center"/>
    </xf>
  </cellXfs>
  <cellStyles count="1">
    <cellStyle name="Обычный" xfId="0" builtinId="0"/>
  </cellStyles>
  <dxfs count="16">
    <dxf>
      <font>
        <strike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dd/mm/yy;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dd/mm/yy;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dd/mm/yy;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dd/mm/yy;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dd/mm/yy;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dd/mm/yy;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dd/mm/yy;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7</xdr:row>
          <xdr:rowOff>25400</xdr:rowOff>
        </xdr:from>
        <xdr:to>
          <xdr:col>0</xdr:col>
          <xdr:colOff>298450</xdr:colOff>
          <xdr:row>7</xdr:row>
          <xdr:rowOff>222250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7</xdr:row>
          <xdr:rowOff>266700</xdr:rowOff>
        </xdr:from>
        <xdr:to>
          <xdr:col>0</xdr:col>
          <xdr:colOff>285750</xdr:colOff>
          <xdr:row>7</xdr:row>
          <xdr:rowOff>450850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273050</xdr:colOff>
          <xdr:row>6</xdr:row>
          <xdr:rowOff>152400</xdr:rowOff>
        </xdr:from>
        <xdr:to>
          <xdr:col>4</xdr:col>
          <xdr:colOff>527050</xdr:colOff>
          <xdr:row>7</xdr:row>
          <xdr:rowOff>317500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Отправить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463550</xdr:colOff>
          <xdr:row>7</xdr:row>
          <xdr:rowOff>38100</xdr:rowOff>
        </xdr:from>
        <xdr:to>
          <xdr:col>13</xdr:col>
          <xdr:colOff>2482850</xdr:colOff>
          <xdr:row>7</xdr:row>
          <xdr:rowOff>349250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Отправить активность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_График" displayName="Т_График" ref="A9:N74" totalsRowShown="0" headerRowDxfId="15" dataDxfId="14">
  <autoFilter ref="A9:N74" xr:uid="{00000000-0009-0000-0100-000001000000}"/>
  <tableColumns count="14">
    <tableColumn id="1" xr3:uid="{00000000-0010-0000-0000-000001000000}" name="ID" dataDxfId="13"/>
    <tableColumn id="2" xr3:uid="{00000000-0010-0000-0000-000002000000}" name="Модуль" dataDxfId="12"/>
    <tableColumn id="3" xr3:uid="{00000000-0010-0000-0000-000003000000}" name="З" dataDxfId="11"/>
    <tableColumn id="4" xr3:uid="{00000000-0010-0000-0000-000004000000}" name="Рассм" dataDxfId="10"/>
    <tableColumn id="5" xr3:uid="{00000000-0010-0000-0000-000005000000}" name="Разраб" dataDxfId="9"/>
    <tableColumn id="6" xr3:uid="{00000000-0010-0000-0000-000006000000}" name="К" dataDxfId="8"/>
    <tableColumn id="7" xr3:uid="{00000000-0010-0000-0000-000007000000}" name="О" dataDxfId="7"/>
    <tableColumn id="8" xr3:uid="{00000000-0010-0000-0000-000008000000}" name="С" dataDxfId="6"/>
    <tableColumn id="9" xr3:uid="{00000000-0010-0000-0000-000009000000}" name="Запуск" dataDxfId="5"/>
    <tableColumn id="10" xr3:uid="{00000000-0010-0000-0000-00000A000000}" name="Корр" dataDxfId="4">
      <calculatedColumnFormula>Т_График[[#This Row],[Разраб]]+Т_График[[#This Row],[К]]</calculatedColumnFormula>
    </tableColumn>
    <tableColumn id="11" xr3:uid="{00000000-0010-0000-0000-00000B000000}" name="Ожид" dataDxfId="3">
      <calculatedColumnFormula>Т_График[[#This Row],[Разраб]]+Т_График[[#This Row],[К]]+Т_График[[#This Row],[О]]</calculatedColumnFormula>
    </tableColumn>
    <tableColumn id="12" xr3:uid="{00000000-0010-0000-0000-00000C000000}" name="Соглас" dataDxfId="2">
      <calculatedColumnFormula>Т_График[[#This Row],[Разраб]]+Т_График[[#This Row],[К]]+Т_График[[#This Row],[О]]+Т_График[[#This Row],[С]]</calculatedColumnFormula>
    </tableColumn>
    <tableColumn id="13" xr3:uid="{00000000-0010-0000-0000-00000D000000}" name="Р" dataDxfId="1">
      <calculatedColumnFormula>Т_График[[#This Row],[Разраб]]-Т_График[[#This Row],[Рассм]]</calculatedColumnFormula>
    </tableColumn>
    <tableColumn id="14" xr3:uid="{0AD49FC5-9D1C-4FED-9A15-FC951E3624E0}" name="Активность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00B050"/>
  </sheetPr>
  <dimension ref="A1:BZ74"/>
  <sheetViews>
    <sheetView tabSelected="1" topLeftCell="A7" workbookViewId="0">
      <pane ySplit="3" topLeftCell="A54" activePane="bottomLeft" state="frozen"/>
      <selection activeCell="A7" sqref="A7"/>
      <selection pane="bottomLeft" activeCell="AK62" sqref="AK62"/>
    </sheetView>
  </sheetViews>
  <sheetFormatPr defaultColWidth="8.7265625" defaultRowHeight="14.5" outlineLevelRow="1" outlineLevelCol="1" x14ac:dyDescent="0.35"/>
  <cols>
    <col min="1" max="1" width="4.6328125" style="2" customWidth="1"/>
    <col min="2" max="2" width="18.453125" style="15" customWidth="1"/>
    <col min="3" max="3" width="3.90625" style="2" customWidth="1"/>
    <col min="4" max="4" width="8.7265625" style="3"/>
    <col min="5" max="5" width="8.90625" style="3" customWidth="1"/>
    <col min="6" max="6" width="4.1796875" style="2" customWidth="1"/>
    <col min="7" max="8" width="4.08984375" style="2" customWidth="1"/>
    <col min="9" max="11" width="8.7265625" style="2" hidden="1" customWidth="1" outlineLevel="1"/>
    <col min="12" max="12" width="8.7265625" style="3" collapsed="1"/>
    <col min="13" max="13" width="4" style="6" customWidth="1"/>
    <col min="14" max="14" width="63.453125" style="1" hidden="1" customWidth="1" outlineLevel="1"/>
    <col min="15" max="15" width="2" style="1" customWidth="1" collapsed="1"/>
    <col min="16" max="26" width="8.7265625" style="1" hidden="1" customWidth="1" outlineLevel="1"/>
    <col min="27" max="27" width="3.1796875" style="10" customWidth="1" collapsed="1"/>
    <col min="28" max="78" width="3.1796875" style="10" customWidth="1"/>
    <col min="79" max="425" width="10.6328125" style="1" customWidth="1"/>
    <col min="426" max="16384" width="8.7265625" style="1"/>
  </cols>
  <sheetData>
    <row r="1" spans="1:78" hidden="1" outlineLevel="1" x14ac:dyDescent="0.35">
      <c r="AA1" s="7">
        <v>46211</v>
      </c>
      <c r="AB1" s="8">
        <v>46218</v>
      </c>
      <c r="AC1" s="8">
        <v>46225</v>
      </c>
      <c r="AD1" s="8">
        <v>46232</v>
      </c>
      <c r="AE1" s="8">
        <v>46239</v>
      </c>
      <c r="AF1" s="8">
        <v>46246</v>
      </c>
      <c r="AG1" s="8">
        <v>46253</v>
      </c>
      <c r="AH1" s="8">
        <v>46260</v>
      </c>
      <c r="AI1" s="8">
        <v>46267</v>
      </c>
      <c r="AJ1" s="8">
        <v>46274</v>
      </c>
      <c r="AK1" s="8">
        <v>46281</v>
      </c>
      <c r="AL1" s="8">
        <v>46288</v>
      </c>
      <c r="AM1" s="8">
        <v>46295</v>
      </c>
      <c r="AN1" s="8">
        <v>46302</v>
      </c>
      <c r="AO1" s="8">
        <v>46309</v>
      </c>
      <c r="AP1" s="8">
        <v>46316</v>
      </c>
      <c r="AQ1" s="8">
        <v>46323</v>
      </c>
      <c r="AR1" s="8">
        <v>46330</v>
      </c>
      <c r="AS1" s="8">
        <v>46337</v>
      </c>
      <c r="AT1" s="8">
        <v>46344</v>
      </c>
      <c r="AU1" s="8">
        <v>46351</v>
      </c>
      <c r="AV1" s="8">
        <v>46358</v>
      </c>
      <c r="AW1" s="8">
        <v>46365</v>
      </c>
      <c r="AX1" s="8">
        <v>46372</v>
      </c>
      <c r="AY1" s="8">
        <v>46379</v>
      </c>
      <c r="AZ1" s="8">
        <v>46386</v>
      </c>
      <c r="BA1" s="8">
        <v>46393</v>
      </c>
      <c r="BB1" s="8">
        <v>46400</v>
      </c>
      <c r="BC1" s="8">
        <v>46407</v>
      </c>
      <c r="BD1" s="8">
        <v>46414</v>
      </c>
      <c r="BE1" s="8">
        <v>46421</v>
      </c>
      <c r="BF1" s="8">
        <v>46428</v>
      </c>
      <c r="BG1" s="8">
        <v>46435</v>
      </c>
      <c r="BH1" s="8">
        <v>46442</v>
      </c>
      <c r="BI1" s="8">
        <v>46449</v>
      </c>
      <c r="BJ1" s="8">
        <v>46456</v>
      </c>
      <c r="BK1" s="8">
        <v>46463</v>
      </c>
      <c r="BL1" s="8">
        <v>46470</v>
      </c>
      <c r="BM1" s="8">
        <v>46477</v>
      </c>
      <c r="BN1" s="8">
        <v>46484</v>
      </c>
      <c r="BO1" s="8">
        <v>46491</v>
      </c>
      <c r="BP1" s="8">
        <v>46498</v>
      </c>
      <c r="BQ1" s="8">
        <v>46505</v>
      </c>
      <c r="BR1" s="8">
        <v>46512</v>
      </c>
      <c r="BS1" s="8">
        <v>46519</v>
      </c>
      <c r="BT1" s="8">
        <v>46526</v>
      </c>
      <c r="BU1" s="8">
        <v>46533</v>
      </c>
      <c r="BV1" s="8">
        <v>46540</v>
      </c>
      <c r="BW1" s="8">
        <v>46547</v>
      </c>
      <c r="BX1" s="8">
        <v>46554</v>
      </c>
      <c r="BY1" s="8">
        <v>46561</v>
      </c>
      <c r="BZ1" s="7">
        <v>46568</v>
      </c>
    </row>
    <row r="2" spans="1:78" hidden="1" outlineLevel="1" x14ac:dyDescent="0.35">
      <c r="AA2" s="8">
        <v>46217</v>
      </c>
      <c r="AB2" s="8">
        <v>46224</v>
      </c>
      <c r="AC2" s="8">
        <v>46231</v>
      </c>
      <c r="AD2" s="8">
        <v>46238</v>
      </c>
      <c r="AE2" s="8">
        <v>46245</v>
      </c>
      <c r="AF2" s="8">
        <v>46252</v>
      </c>
      <c r="AG2" s="8">
        <v>46259</v>
      </c>
      <c r="AH2" s="8">
        <v>46266</v>
      </c>
      <c r="AI2" s="8">
        <v>46273</v>
      </c>
      <c r="AJ2" s="8">
        <v>46280</v>
      </c>
      <c r="AK2" s="8">
        <v>46287</v>
      </c>
      <c r="AL2" s="8">
        <v>46294</v>
      </c>
      <c r="AM2" s="8">
        <v>46301</v>
      </c>
      <c r="AN2" s="8">
        <v>46308</v>
      </c>
      <c r="AO2" s="8">
        <v>46315</v>
      </c>
      <c r="AP2" s="8">
        <v>46322</v>
      </c>
      <c r="AQ2" s="8">
        <v>46329</v>
      </c>
      <c r="AR2" s="8">
        <v>46336</v>
      </c>
      <c r="AS2" s="8">
        <v>46343</v>
      </c>
      <c r="AT2" s="8">
        <v>46350</v>
      </c>
      <c r="AU2" s="8">
        <v>46357</v>
      </c>
      <c r="AV2" s="8">
        <v>46364</v>
      </c>
      <c r="AW2" s="8">
        <v>46371</v>
      </c>
      <c r="AX2" s="8">
        <v>46378</v>
      </c>
      <c r="AY2" s="8">
        <v>46385</v>
      </c>
      <c r="AZ2" s="8">
        <v>46392</v>
      </c>
      <c r="BA2" s="8">
        <v>46399</v>
      </c>
      <c r="BB2" s="8">
        <v>46406</v>
      </c>
      <c r="BC2" s="8">
        <v>46413</v>
      </c>
      <c r="BD2" s="8">
        <v>46420</v>
      </c>
      <c r="BE2" s="8">
        <v>46427</v>
      </c>
      <c r="BF2" s="8">
        <v>46434</v>
      </c>
      <c r="BG2" s="8">
        <v>46441</v>
      </c>
      <c r="BH2" s="8">
        <v>46448</v>
      </c>
      <c r="BI2" s="8">
        <v>46455</v>
      </c>
      <c r="BJ2" s="8">
        <v>46462</v>
      </c>
      <c r="BK2" s="8">
        <v>46469</v>
      </c>
      <c r="BL2" s="8">
        <v>46476</v>
      </c>
      <c r="BM2" s="8">
        <v>46483</v>
      </c>
      <c r="BN2" s="8">
        <v>46490</v>
      </c>
      <c r="BO2" s="8">
        <v>46497</v>
      </c>
      <c r="BP2" s="8">
        <v>46504</v>
      </c>
      <c r="BQ2" s="8">
        <v>46511</v>
      </c>
      <c r="BR2" s="8">
        <v>46518</v>
      </c>
      <c r="BS2" s="8">
        <v>46525</v>
      </c>
      <c r="BT2" s="8">
        <v>46532</v>
      </c>
      <c r="BU2" s="8">
        <v>46539</v>
      </c>
      <c r="BV2" s="8">
        <v>46546</v>
      </c>
      <c r="BW2" s="8">
        <v>46553</v>
      </c>
      <c r="BX2" s="8">
        <v>46560</v>
      </c>
      <c r="BY2" s="8">
        <v>46567</v>
      </c>
      <c r="BZ2" s="8">
        <v>46574</v>
      </c>
    </row>
    <row r="3" spans="1:78" s="6" customFormat="1" hidden="1" outlineLevel="1" x14ac:dyDescent="0.35">
      <c r="A3" s="5"/>
      <c r="B3" s="16"/>
      <c r="C3" s="5"/>
      <c r="D3" s="5"/>
      <c r="E3" s="5"/>
      <c r="F3" s="5"/>
      <c r="G3" s="5"/>
      <c r="H3" s="5"/>
      <c r="I3" s="5"/>
      <c r="J3" s="5"/>
      <c r="K3" s="5"/>
      <c r="L3" s="5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</row>
    <row r="4" spans="1:78" s="6" customFormat="1" hidden="1" outlineLevel="1" x14ac:dyDescent="0.35">
      <c r="A4" s="5"/>
      <c r="B4" s="16"/>
      <c r="C4" s="5"/>
      <c r="D4" s="5"/>
      <c r="E4" s="5"/>
      <c r="F4" s="5"/>
      <c r="G4" s="5"/>
      <c r="H4" s="5"/>
      <c r="I4" s="5"/>
      <c r="J4" s="5"/>
      <c r="K4" s="5"/>
      <c r="L4" s="5"/>
      <c r="AA4" s="9">
        <v>7</v>
      </c>
      <c r="AB4" s="9">
        <v>7</v>
      </c>
      <c r="AC4" s="9">
        <v>7</v>
      </c>
      <c r="AD4" s="9">
        <v>7</v>
      </c>
      <c r="AE4" s="9">
        <v>8</v>
      </c>
      <c r="AF4" s="9">
        <v>8</v>
      </c>
      <c r="AG4" s="9">
        <v>8</v>
      </c>
      <c r="AH4" s="9">
        <v>8</v>
      </c>
      <c r="AI4" s="9">
        <v>9</v>
      </c>
      <c r="AJ4" s="9">
        <v>9</v>
      </c>
      <c r="AK4" s="9">
        <v>9</v>
      </c>
      <c r="AL4" s="9">
        <v>9</v>
      </c>
      <c r="AM4" s="9">
        <v>9</v>
      </c>
      <c r="AN4" s="9">
        <v>10</v>
      </c>
      <c r="AO4" s="9">
        <v>10</v>
      </c>
      <c r="AP4" s="9">
        <v>10</v>
      </c>
      <c r="AQ4" s="9">
        <v>10</v>
      </c>
      <c r="AR4" s="9">
        <v>11</v>
      </c>
      <c r="AS4" s="9">
        <v>11</v>
      </c>
      <c r="AT4" s="9">
        <v>11</v>
      </c>
      <c r="AU4" s="9">
        <v>11</v>
      </c>
      <c r="AV4" s="9">
        <v>12</v>
      </c>
      <c r="AW4" s="9">
        <v>12</v>
      </c>
      <c r="AX4" s="9">
        <v>12</v>
      </c>
      <c r="AY4" s="9">
        <v>12</v>
      </c>
      <c r="AZ4" s="9">
        <v>12</v>
      </c>
      <c r="BA4" s="9">
        <v>1</v>
      </c>
      <c r="BB4" s="9">
        <v>1</v>
      </c>
      <c r="BC4" s="9">
        <v>1</v>
      </c>
      <c r="BD4" s="9">
        <v>1</v>
      </c>
      <c r="BE4" s="9">
        <v>2</v>
      </c>
      <c r="BF4" s="9">
        <v>2</v>
      </c>
      <c r="BG4" s="9">
        <v>2</v>
      </c>
      <c r="BH4" s="9">
        <v>2</v>
      </c>
      <c r="BI4" s="9">
        <v>3</v>
      </c>
      <c r="BJ4" s="9">
        <v>3</v>
      </c>
      <c r="BK4" s="9">
        <v>3</v>
      </c>
      <c r="BL4" s="9">
        <v>3</v>
      </c>
      <c r="BM4" s="9">
        <v>3</v>
      </c>
      <c r="BN4" s="9">
        <v>4</v>
      </c>
      <c r="BO4" s="9">
        <v>4</v>
      </c>
      <c r="BP4" s="9">
        <v>4</v>
      </c>
      <c r="BQ4" s="9">
        <v>4</v>
      </c>
      <c r="BR4" s="9">
        <v>5</v>
      </c>
      <c r="BS4" s="9">
        <v>5</v>
      </c>
      <c r="BT4" s="9">
        <v>5</v>
      </c>
      <c r="BU4" s="9">
        <v>5</v>
      </c>
      <c r="BV4" s="9">
        <v>6</v>
      </c>
      <c r="BW4" s="9">
        <v>6</v>
      </c>
      <c r="BX4" s="9">
        <v>6</v>
      </c>
      <c r="BY4" s="9">
        <v>6</v>
      </c>
      <c r="BZ4" s="9">
        <v>6</v>
      </c>
    </row>
    <row r="5" spans="1:78" s="6" customFormat="1" hidden="1" outlineLevel="1" x14ac:dyDescent="0.35">
      <c r="A5" s="5"/>
      <c r="B5" s="16"/>
      <c r="C5" s="5"/>
      <c r="D5" s="5"/>
      <c r="E5" s="5"/>
      <c r="F5" s="5"/>
      <c r="G5" s="5"/>
      <c r="H5" s="5"/>
      <c r="I5" s="5"/>
      <c r="J5" s="5"/>
      <c r="K5" s="5"/>
      <c r="L5" s="5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</row>
    <row r="6" spans="1:78" s="6" customFormat="1" hidden="1" outlineLevel="1" x14ac:dyDescent="0.35">
      <c r="A6" s="5"/>
      <c r="B6" s="16"/>
      <c r="C6" s="5"/>
      <c r="D6" s="5"/>
      <c r="E6" s="5"/>
      <c r="F6" s="5"/>
      <c r="G6" s="5"/>
      <c r="H6" s="5"/>
      <c r="I6" s="5"/>
      <c r="J6" s="5"/>
      <c r="K6" s="5"/>
      <c r="L6" s="5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</row>
    <row r="7" spans="1:78" collapsed="1" x14ac:dyDescent="0.35">
      <c r="A7" s="12" t="s">
        <v>21</v>
      </c>
      <c r="G7"/>
      <c r="H7"/>
      <c r="I7"/>
      <c r="J7"/>
      <c r="K7"/>
      <c r="L7"/>
    </row>
    <row r="8" spans="1:78" ht="37" x14ac:dyDescent="0.35">
      <c r="B8" s="17" t="s">
        <v>20</v>
      </c>
      <c r="C8" s="13">
        <v>-7</v>
      </c>
      <c r="F8" s="13" t="s">
        <v>13</v>
      </c>
      <c r="G8" s="13">
        <v>6</v>
      </c>
      <c r="H8" s="13" t="s">
        <v>22</v>
      </c>
      <c r="I8" s="4"/>
      <c r="J8" s="4"/>
      <c r="K8" s="4"/>
      <c r="L8" s="14">
        <f>MIN(D:D)</f>
        <v>46218</v>
      </c>
      <c r="AA8" s="11" t="s">
        <v>14</v>
      </c>
      <c r="AB8" s="11"/>
      <c r="AC8" s="11"/>
      <c r="AD8" s="11"/>
      <c r="AE8" s="11" t="s">
        <v>15</v>
      </c>
      <c r="AF8" s="11"/>
      <c r="AG8" s="11"/>
      <c r="AH8" s="11"/>
      <c r="AI8" s="11" t="s">
        <v>16</v>
      </c>
      <c r="AJ8" s="11"/>
      <c r="AK8" s="11"/>
      <c r="AL8" s="11"/>
      <c r="AM8" s="11"/>
      <c r="AN8" s="11" t="s">
        <v>17</v>
      </c>
      <c r="AO8" s="11"/>
      <c r="AP8" s="11"/>
      <c r="AQ8" s="11"/>
      <c r="AR8" s="11" t="s">
        <v>18</v>
      </c>
      <c r="AS8" s="11"/>
      <c r="AT8" s="11"/>
      <c r="AU8" s="11"/>
      <c r="AV8" s="11" t="s">
        <v>19</v>
      </c>
      <c r="AW8" s="11"/>
      <c r="AX8" s="11"/>
      <c r="AY8" s="11"/>
      <c r="AZ8" s="11"/>
      <c r="BA8" s="11" t="s">
        <v>38</v>
      </c>
      <c r="BB8" s="11"/>
      <c r="BC8" s="11"/>
      <c r="BD8" s="11"/>
      <c r="BE8" s="11" t="s">
        <v>39</v>
      </c>
      <c r="BF8" s="11"/>
      <c r="BG8" s="11"/>
      <c r="BH8" s="11"/>
      <c r="BI8" s="11" t="s">
        <v>40</v>
      </c>
      <c r="BJ8" s="11"/>
      <c r="BK8" s="11"/>
      <c r="BL8" s="11"/>
      <c r="BM8" s="11"/>
      <c r="BN8" s="11" t="s">
        <v>41</v>
      </c>
      <c r="BO8" s="11"/>
      <c r="BP8" s="11"/>
      <c r="BQ8" s="11"/>
      <c r="BR8" s="11" t="s">
        <v>42</v>
      </c>
      <c r="BS8" s="11"/>
      <c r="BT8" s="11"/>
      <c r="BU8" s="11"/>
      <c r="BV8" s="11" t="s">
        <v>43</v>
      </c>
      <c r="BW8" s="11"/>
      <c r="BX8" s="11"/>
      <c r="BY8" s="11"/>
      <c r="BZ8" s="11"/>
    </row>
    <row r="9" spans="1:78" x14ac:dyDescent="0.35">
      <c r="A9" s="2" t="s">
        <v>0</v>
      </c>
      <c r="B9" s="15" t="s">
        <v>1</v>
      </c>
      <c r="C9" s="2" t="s">
        <v>2</v>
      </c>
      <c r="D9" s="3" t="s">
        <v>3</v>
      </c>
      <c r="E9" s="3" t="s">
        <v>4</v>
      </c>
      <c r="F9" s="2" t="s">
        <v>5</v>
      </c>
      <c r="G9" s="2" t="s">
        <v>6</v>
      </c>
      <c r="H9" s="2" t="s">
        <v>7</v>
      </c>
      <c r="I9" s="2" t="s">
        <v>8</v>
      </c>
      <c r="J9" s="2" t="s">
        <v>9</v>
      </c>
      <c r="K9" s="2" t="s">
        <v>10</v>
      </c>
      <c r="L9" s="3" t="s">
        <v>11</v>
      </c>
      <c r="M9" s="5" t="s">
        <v>23</v>
      </c>
      <c r="N9" s="2" t="s">
        <v>44</v>
      </c>
      <c r="AA9" s="10">
        <v>8</v>
      </c>
      <c r="AB9" s="10">
        <v>15</v>
      </c>
      <c r="AC9" s="10">
        <v>22</v>
      </c>
      <c r="AD9" s="10">
        <v>29</v>
      </c>
      <c r="AE9" s="10">
        <v>5</v>
      </c>
      <c r="AF9" s="10">
        <v>12</v>
      </c>
      <c r="AG9" s="10">
        <v>19</v>
      </c>
      <c r="AH9" s="10">
        <v>26</v>
      </c>
      <c r="AI9" s="10">
        <v>2</v>
      </c>
      <c r="AJ9" s="10">
        <v>9</v>
      </c>
      <c r="AK9" s="10">
        <v>16</v>
      </c>
      <c r="AL9" s="10">
        <v>23</v>
      </c>
      <c r="AM9" s="10">
        <v>30</v>
      </c>
      <c r="AN9" s="10">
        <v>7</v>
      </c>
      <c r="AO9" s="10">
        <v>14</v>
      </c>
      <c r="AP9" s="10">
        <v>21</v>
      </c>
      <c r="AQ9" s="10">
        <v>28</v>
      </c>
      <c r="AR9" s="10">
        <v>4</v>
      </c>
      <c r="AS9" s="10">
        <v>11</v>
      </c>
      <c r="AT9" s="10">
        <v>18</v>
      </c>
      <c r="AU9" s="10">
        <v>25</v>
      </c>
      <c r="AV9" s="10">
        <v>2</v>
      </c>
      <c r="AW9" s="10">
        <v>9</v>
      </c>
      <c r="AX9" s="10">
        <v>16</v>
      </c>
      <c r="AY9" s="10">
        <v>23</v>
      </c>
      <c r="AZ9" s="10">
        <v>30</v>
      </c>
      <c r="BA9" s="10">
        <v>6</v>
      </c>
      <c r="BB9" s="10">
        <v>13</v>
      </c>
      <c r="BC9" s="10">
        <v>20</v>
      </c>
      <c r="BD9" s="10">
        <v>27</v>
      </c>
      <c r="BE9" s="10">
        <v>3</v>
      </c>
      <c r="BF9" s="10">
        <v>10</v>
      </c>
      <c r="BG9" s="10">
        <v>17</v>
      </c>
      <c r="BH9" s="10">
        <v>24</v>
      </c>
      <c r="BI9" s="10">
        <v>3</v>
      </c>
      <c r="BJ9" s="10">
        <v>10</v>
      </c>
      <c r="BK9" s="10">
        <v>17</v>
      </c>
      <c r="BL9" s="10">
        <v>24</v>
      </c>
      <c r="BM9" s="10">
        <v>31</v>
      </c>
      <c r="BN9" s="10">
        <v>7</v>
      </c>
      <c r="BO9" s="10">
        <v>14</v>
      </c>
      <c r="BP9" s="10">
        <v>21</v>
      </c>
      <c r="BQ9" s="10">
        <v>28</v>
      </c>
      <c r="BR9" s="10">
        <v>5</v>
      </c>
      <c r="BS9" s="10">
        <v>12</v>
      </c>
      <c r="BT9" s="10">
        <v>19</v>
      </c>
      <c r="BU9" s="10">
        <v>26</v>
      </c>
      <c r="BV9" s="10">
        <v>2</v>
      </c>
      <c r="BW9" s="10">
        <v>9</v>
      </c>
      <c r="BX9" s="10">
        <v>16</v>
      </c>
      <c r="BY9" s="10">
        <v>23</v>
      </c>
      <c r="BZ9" s="10">
        <v>30</v>
      </c>
    </row>
    <row r="10" spans="1:78" ht="29" x14ac:dyDescent="0.35">
      <c r="A10" s="2">
        <v>193</v>
      </c>
      <c r="B10" s="15" t="s">
        <v>45</v>
      </c>
      <c r="C10" s="2">
        <v>0</v>
      </c>
      <c r="D10" s="3">
        <v>46218</v>
      </c>
      <c r="E10" s="3">
        <v>46224</v>
      </c>
      <c r="F10" s="2">
        <v>0</v>
      </c>
      <c r="G10" s="2">
        <v>0</v>
      </c>
      <c r="H10" s="2">
        <v>0</v>
      </c>
      <c r="I10" s="3">
        <v>46203</v>
      </c>
      <c r="J10" s="3">
        <f>Т_График[[#This Row],[Разраб]]+Т_График[[#This Row],[К]]</f>
        <v>46224</v>
      </c>
      <c r="K10" s="3">
        <f>Т_График[[#This Row],[Разраб]]+Т_График[[#This Row],[К]]+Т_График[[#This Row],[О]]</f>
        <v>46224</v>
      </c>
      <c r="L10" s="3">
        <f>Т_График[[#This Row],[Разраб]]+Т_График[[#This Row],[К]]+Т_График[[#This Row],[О]]+Т_График[[#This Row],[С]]</f>
        <v>46224</v>
      </c>
      <c r="M10" s="5">
        <f>Т_График[[#This Row],[Разраб]]-Т_График[[#This Row],[Рассм]]</f>
        <v>6</v>
      </c>
      <c r="N10" s="3"/>
      <c r="AB10" s="10" t="s">
        <v>12</v>
      </c>
    </row>
    <row r="11" spans="1:78" ht="29" x14ac:dyDescent="0.35">
      <c r="A11" s="2">
        <v>195</v>
      </c>
      <c r="B11" s="15" t="s">
        <v>46</v>
      </c>
      <c r="C11" s="2">
        <v>0</v>
      </c>
      <c r="D11" s="3">
        <v>46224</v>
      </c>
      <c r="E11" s="3">
        <v>46230</v>
      </c>
      <c r="F11" s="2">
        <v>0</v>
      </c>
      <c r="G11" s="2">
        <v>0</v>
      </c>
      <c r="H11" s="2">
        <v>0</v>
      </c>
      <c r="I11" s="3">
        <v>46203</v>
      </c>
      <c r="J11" s="3">
        <f>Т_График[[#This Row],[Разраб]]+Т_График[[#This Row],[К]]</f>
        <v>46230</v>
      </c>
      <c r="K11" s="3">
        <f>Т_График[[#This Row],[Разраб]]+Т_График[[#This Row],[К]]+Т_График[[#This Row],[О]]</f>
        <v>46230</v>
      </c>
      <c r="L11" s="3">
        <f>Т_График[[#This Row],[Разраб]]+Т_График[[#This Row],[К]]+Т_График[[#This Row],[О]]+Т_График[[#This Row],[С]]</f>
        <v>46230</v>
      </c>
      <c r="M11" s="5">
        <f>Т_График[[#This Row],[Разраб]]-Т_График[[#This Row],[Рассм]]</f>
        <v>6</v>
      </c>
      <c r="N11" s="3"/>
      <c r="AB11" s="10" t="s">
        <v>12</v>
      </c>
      <c r="AC11" s="10" t="s">
        <v>12</v>
      </c>
    </row>
    <row r="12" spans="1:78" ht="29" x14ac:dyDescent="0.35">
      <c r="A12" s="2">
        <v>197</v>
      </c>
      <c r="B12" s="15" t="s">
        <v>47</v>
      </c>
      <c r="C12" s="2">
        <v>0</v>
      </c>
      <c r="D12" s="3">
        <v>46230</v>
      </c>
      <c r="E12" s="3">
        <v>46241</v>
      </c>
      <c r="F12" s="2">
        <v>0</v>
      </c>
      <c r="G12" s="2">
        <v>0</v>
      </c>
      <c r="H12" s="2">
        <v>0</v>
      </c>
      <c r="I12" s="3">
        <v>46203</v>
      </c>
      <c r="J12" s="3">
        <f>Т_График[[#This Row],[Разраб]]+Т_График[[#This Row],[К]]</f>
        <v>46241</v>
      </c>
      <c r="K12" s="3">
        <f>Т_График[[#This Row],[Разраб]]+Т_График[[#This Row],[К]]+Т_График[[#This Row],[О]]</f>
        <v>46241</v>
      </c>
      <c r="L12" s="3">
        <f>Т_График[[#This Row],[Разраб]]+Т_График[[#This Row],[К]]+Т_График[[#This Row],[О]]+Т_График[[#This Row],[С]]</f>
        <v>46241</v>
      </c>
      <c r="M12" s="5">
        <f>Т_График[[#This Row],[Разраб]]-Т_График[[#This Row],[Рассм]]</f>
        <v>11</v>
      </c>
      <c r="N12" s="3"/>
      <c r="AC12" s="10" t="s">
        <v>12</v>
      </c>
      <c r="AD12" s="10" t="s">
        <v>12</v>
      </c>
      <c r="AE12" s="10" t="s">
        <v>12</v>
      </c>
    </row>
    <row r="13" spans="1:78" ht="29" x14ac:dyDescent="0.35">
      <c r="A13" s="2">
        <v>199</v>
      </c>
      <c r="B13" s="15" t="s">
        <v>48</v>
      </c>
      <c r="C13" s="2">
        <v>0</v>
      </c>
      <c r="D13" s="3">
        <v>46241</v>
      </c>
      <c r="E13" s="3">
        <v>46254</v>
      </c>
      <c r="F13" s="2">
        <v>0</v>
      </c>
      <c r="G13" s="2">
        <v>0</v>
      </c>
      <c r="H13" s="2">
        <v>0</v>
      </c>
      <c r="I13" s="3">
        <v>46203</v>
      </c>
      <c r="J13" s="3">
        <f>Т_График[[#This Row],[Разраб]]+Т_График[[#This Row],[К]]</f>
        <v>46254</v>
      </c>
      <c r="K13" s="3">
        <f>Т_График[[#This Row],[Разраб]]+Т_График[[#This Row],[К]]+Т_График[[#This Row],[О]]</f>
        <v>46254</v>
      </c>
      <c r="L13" s="3">
        <f>Т_График[[#This Row],[Разраб]]+Т_График[[#This Row],[К]]+Т_График[[#This Row],[О]]+Т_График[[#This Row],[С]]</f>
        <v>46254</v>
      </c>
      <c r="M13" s="5">
        <f>Т_График[[#This Row],[Разраб]]-Т_График[[#This Row],[Рассм]]</f>
        <v>13</v>
      </c>
      <c r="N13" s="3"/>
      <c r="AE13" s="10" t="s">
        <v>12</v>
      </c>
      <c r="AF13" s="10" t="s">
        <v>12</v>
      </c>
      <c r="AG13" s="10" t="s">
        <v>12</v>
      </c>
    </row>
    <row r="14" spans="1:78" ht="29" x14ac:dyDescent="0.35">
      <c r="A14" s="2">
        <v>201</v>
      </c>
      <c r="B14" s="15" t="s">
        <v>49</v>
      </c>
      <c r="C14" s="2">
        <v>0</v>
      </c>
      <c r="D14" s="3">
        <v>46224</v>
      </c>
      <c r="E14" s="3">
        <v>46230</v>
      </c>
      <c r="F14" s="2">
        <v>0</v>
      </c>
      <c r="G14" s="2">
        <v>0</v>
      </c>
      <c r="H14" s="2">
        <v>0</v>
      </c>
      <c r="I14" s="3">
        <v>46203</v>
      </c>
      <c r="J14" s="3">
        <f>Т_График[[#This Row],[Разраб]]+Т_График[[#This Row],[К]]</f>
        <v>46230</v>
      </c>
      <c r="K14" s="3">
        <f>Т_График[[#This Row],[Разраб]]+Т_График[[#This Row],[К]]+Т_График[[#This Row],[О]]</f>
        <v>46230</v>
      </c>
      <c r="L14" s="3">
        <f>Т_График[[#This Row],[Разраб]]+Т_График[[#This Row],[К]]+Т_График[[#This Row],[О]]+Т_График[[#This Row],[С]]</f>
        <v>46230</v>
      </c>
      <c r="M14" s="5">
        <f>Т_График[[#This Row],[Разраб]]-Т_График[[#This Row],[Рассм]]</f>
        <v>6</v>
      </c>
      <c r="N14" s="3"/>
      <c r="AB14" s="10" t="s">
        <v>12</v>
      </c>
      <c r="AC14" s="10" t="s">
        <v>12</v>
      </c>
    </row>
    <row r="15" spans="1:78" ht="29" x14ac:dyDescent="0.35">
      <c r="A15" s="2">
        <v>203</v>
      </c>
      <c r="B15" s="15" t="s">
        <v>50</v>
      </c>
      <c r="C15" s="2">
        <v>0</v>
      </c>
      <c r="D15" s="3">
        <v>46224</v>
      </c>
      <c r="E15" s="3">
        <v>46230</v>
      </c>
      <c r="F15" s="2">
        <v>0</v>
      </c>
      <c r="G15" s="2">
        <v>0</v>
      </c>
      <c r="H15" s="2">
        <v>0</v>
      </c>
      <c r="I15" s="3">
        <v>46203</v>
      </c>
      <c r="J15" s="3">
        <f>Т_График[[#This Row],[Разраб]]+Т_График[[#This Row],[К]]</f>
        <v>46230</v>
      </c>
      <c r="K15" s="3">
        <f>Т_График[[#This Row],[Разраб]]+Т_График[[#This Row],[К]]+Т_График[[#This Row],[О]]</f>
        <v>46230</v>
      </c>
      <c r="L15" s="3">
        <f>Т_График[[#This Row],[Разраб]]+Т_График[[#This Row],[К]]+Т_График[[#This Row],[О]]+Т_График[[#This Row],[С]]</f>
        <v>46230</v>
      </c>
      <c r="M15" s="5">
        <f>Т_График[[#This Row],[Разраб]]-Т_График[[#This Row],[Рассм]]</f>
        <v>6</v>
      </c>
      <c r="N15" s="3"/>
      <c r="AB15" s="10" t="s">
        <v>12</v>
      </c>
      <c r="AC15" s="10" t="s">
        <v>12</v>
      </c>
    </row>
    <row r="16" spans="1:78" ht="29" x14ac:dyDescent="0.35">
      <c r="A16" s="2">
        <v>205</v>
      </c>
      <c r="B16" s="15" t="s">
        <v>51</v>
      </c>
      <c r="C16" s="2">
        <v>0</v>
      </c>
      <c r="D16" s="3">
        <v>46224</v>
      </c>
      <c r="E16" s="3">
        <v>46230</v>
      </c>
      <c r="F16" s="2">
        <v>0</v>
      </c>
      <c r="G16" s="2">
        <v>0</v>
      </c>
      <c r="H16" s="2">
        <v>0</v>
      </c>
      <c r="I16" s="3">
        <v>46203</v>
      </c>
      <c r="J16" s="3">
        <f>Т_График[[#This Row],[Разраб]]+Т_График[[#This Row],[К]]</f>
        <v>46230</v>
      </c>
      <c r="K16" s="3">
        <f>Т_График[[#This Row],[Разраб]]+Т_График[[#This Row],[К]]+Т_График[[#This Row],[О]]</f>
        <v>46230</v>
      </c>
      <c r="L16" s="3">
        <f>Т_График[[#This Row],[Разраб]]+Т_График[[#This Row],[К]]+Т_График[[#This Row],[О]]+Т_График[[#This Row],[С]]</f>
        <v>46230</v>
      </c>
      <c r="M16" s="5">
        <f>Т_График[[#This Row],[Разраб]]-Т_График[[#This Row],[Рассм]]</f>
        <v>6</v>
      </c>
      <c r="N16" s="3"/>
      <c r="AB16" s="10" t="s">
        <v>12</v>
      </c>
      <c r="AC16" s="10" t="s">
        <v>12</v>
      </c>
    </row>
    <row r="17" spans="1:39" ht="29" x14ac:dyDescent="0.35">
      <c r="A17" s="2">
        <v>207</v>
      </c>
      <c r="B17" s="15" t="s">
        <v>52</v>
      </c>
      <c r="C17" s="2">
        <v>0</v>
      </c>
      <c r="D17" s="3">
        <v>46224</v>
      </c>
      <c r="E17" s="3">
        <v>46230</v>
      </c>
      <c r="F17" s="2">
        <v>0</v>
      </c>
      <c r="G17" s="2">
        <v>0</v>
      </c>
      <c r="H17" s="2">
        <v>0</v>
      </c>
      <c r="I17" s="3">
        <v>46295</v>
      </c>
      <c r="J17" s="3">
        <f>Т_График[[#This Row],[Разраб]]+Т_График[[#This Row],[К]]</f>
        <v>46230</v>
      </c>
      <c r="K17" s="3">
        <f>Т_График[[#This Row],[Разраб]]+Т_График[[#This Row],[К]]+Т_График[[#This Row],[О]]</f>
        <v>46230</v>
      </c>
      <c r="L17" s="3">
        <f>Т_График[[#This Row],[Разраб]]+Т_График[[#This Row],[К]]+Т_График[[#This Row],[О]]+Т_График[[#This Row],[С]]</f>
        <v>46230</v>
      </c>
      <c r="M17" s="5">
        <f>Т_График[[#This Row],[Разраб]]-Т_График[[#This Row],[Рассм]]</f>
        <v>6</v>
      </c>
      <c r="N17" s="3"/>
      <c r="AB17" s="10" t="s">
        <v>12</v>
      </c>
      <c r="AC17" s="10" t="s">
        <v>12</v>
      </c>
    </row>
    <row r="18" spans="1:39" ht="29" x14ac:dyDescent="0.35">
      <c r="A18" s="2">
        <v>209</v>
      </c>
      <c r="B18" s="15" t="s">
        <v>53</v>
      </c>
      <c r="C18" s="2">
        <v>0</v>
      </c>
      <c r="D18" s="3">
        <v>46230</v>
      </c>
      <c r="E18" s="3">
        <v>46241</v>
      </c>
      <c r="F18" s="2">
        <v>0</v>
      </c>
      <c r="G18" s="2">
        <v>0</v>
      </c>
      <c r="H18" s="2">
        <v>0</v>
      </c>
      <c r="I18" s="3">
        <v>46295</v>
      </c>
      <c r="J18" s="3">
        <f>Т_График[[#This Row],[Разраб]]+Т_График[[#This Row],[К]]</f>
        <v>46241</v>
      </c>
      <c r="K18" s="3">
        <f>Т_График[[#This Row],[Разраб]]+Т_График[[#This Row],[К]]+Т_График[[#This Row],[О]]</f>
        <v>46241</v>
      </c>
      <c r="L18" s="3">
        <f>Т_График[[#This Row],[Разраб]]+Т_График[[#This Row],[К]]+Т_График[[#This Row],[О]]+Т_График[[#This Row],[С]]</f>
        <v>46241</v>
      </c>
      <c r="M18" s="5">
        <f>Т_График[[#This Row],[Разраб]]-Т_График[[#This Row],[Рассм]]</f>
        <v>11</v>
      </c>
      <c r="N18" s="3"/>
      <c r="AC18" s="10" t="s">
        <v>12</v>
      </c>
      <c r="AD18" s="10" t="s">
        <v>12</v>
      </c>
      <c r="AE18" s="10" t="s">
        <v>12</v>
      </c>
    </row>
    <row r="19" spans="1:39" ht="29" x14ac:dyDescent="0.35">
      <c r="A19" s="2">
        <v>211</v>
      </c>
      <c r="B19" s="15" t="s">
        <v>54</v>
      </c>
      <c r="C19" s="2">
        <v>0</v>
      </c>
      <c r="D19" s="3">
        <v>46230</v>
      </c>
      <c r="E19" s="3">
        <v>46248</v>
      </c>
      <c r="F19" s="2">
        <v>0</v>
      </c>
      <c r="G19" s="2">
        <v>0</v>
      </c>
      <c r="H19" s="2">
        <v>0</v>
      </c>
      <c r="I19" s="3">
        <v>46295</v>
      </c>
      <c r="J19" s="3">
        <f>Т_График[[#This Row],[Разраб]]+Т_График[[#This Row],[К]]</f>
        <v>46248</v>
      </c>
      <c r="K19" s="3">
        <f>Т_График[[#This Row],[Разраб]]+Т_График[[#This Row],[К]]+Т_График[[#This Row],[О]]</f>
        <v>46248</v>
      </c>
      <c r="L19" s="3">
        <f>Т_График[[#This Row],[Разраб]]+Т_График[[#This Row],[К]]+Т_График[[#This Row],[О]]+Т_График[[#This Row],[С]]</f>
        <v>46248</v>
      </c>
      <c r="M19" s="5">
        <f>Т_График[[#This Row],[Разраб]]-Т_График[[#This Row],[Рассм]]</f>
        <v>18</v>
      </c>
      <c r="N19" s="3"/>
      <c r="AC19" s="10" t="s">
        <v>12</v>
      </c>
      <c r="AD19" s="10" t="s">
        <v>12</v>
      </c>
      <c r="AE19" s="10" t="s">
        <v>12</v>
      </c>
      <c r="AF19" s="10" t="s">
        <v>12</v>
      </c>
    </row>
    <row r="20" spans="1:39" ht="29" x14ac:dyDescent="0.35">
      <c r="A20" s="2">
        <v>213</v>
      </c>
      <c r="B20" s="15" t="s">
        <v>55</v>
      </c>
      <c r="C20" s="2">
        <v>0</v>
      </c>
      <c r="D20" s="3">
        <v>46230</v>
      </c>
      <c r="E20" s="3">
        <v>46248</v>
      </c>
      <c r="F20" s="2">
        <v>0</v>
      </c>
      <c r="G20" s="2">
        <v>0</v>
      </c>
      <c r="H20" s="2">
        <v>0</v>
      </c>
      <c r="I20" s="3">
        <v>46295</v>
      </c>
      <c r="J20" s="3">
        <f>Т_График[[#This Row],[Разраб]]+Т_График[[#This Row],[К]]</f>
        <v>46248</v>
      </c>
      <c r="K20" s="3">
        <f>Т_График[[#This Row],[Разраб]]+Т_График[[#This Row],[К]]+Т_График[[#This Row],[О]]</f>
        <v>46248</v>
      </c>
      <c r="L20" s="3">
        <f>Т_График[[#This Row],[Разраб]]+Т_График[[#This Row],[К]]+Т_График[[#This Row],[О]]+Т_График[[#This Row],[С]]</f>
        <v>46248</v>
      </c>
      <c r="M20" s="5">
        <f>Т_График[[#This Row],[Разраб]]-Т_График[[#This Row],[Рассм]]</f>
        <v>18</v>
      </c>
      <c r="N20" s="3"/>
      <c r="AC20" s="10" t="s">
        <v>12</v>
      </c>
      <c r="AD20" s="10" t="s">
        <v>12</v>
      </c>
      <c r="AE20" s="10" t="s">
        <v>12</v>
      </c>
      <c r="AF20" s="10" t="s">
        <v>12</v>
      </c>
    </row>
    <row r="21" spans="1:39" ht="29" x14ac:dyDescent="0.35">
      <c r="A21" s="2">
        <v>215</v>
      </c>
      <c r="B21" s="15" t="s">
        <v>56</v>
      </c>
      <c r="C21" s="2">
        <v>0</v>
      </c>
      <c r="D21" s="3">
        <v>46230</v>
      </c>
      <c r="E21" s="3">
        <v>46265</v>
      </c>
      <c r="F21" s="2">
        <v>0</v>
      </c>
      <c r="G21" s="2">
        <v>0</v>
      </c>
      <c r="H21" s="2">
        <v>0</v>
      </c>
      <c r="I21" s="3">
        <v>46295</v>
      </c>
      <c r="J21" s="3">
        <f>Т_График[[#This Row],[Разраб]]+Т_График[[#This Row],[К]]</f>
        <v>46265</v>
      </c>
      <c r="K21" s="3">
        <f>Т_График[[#This Row],[Разраб]]+Т_График[[#This Row],[К]]+Т_График[[#This Row],[О]]</f>
        <v>46265</v>
      </c>
      <c r="L21" s="3">
        <f>Т_График[[#This Row],[Разраб]]+Т_График[[#This Row],[К]]+Т_График[[#This Row],[О]]+Т_График[[#This Row],[С]]</f>
        <v>46265</v>
      </c>
      <c r="M21" s="5">
        <f>Т_График[[#This Row],[Разраб]]-Т_График[[#This Row],[Рассм]]</f>
        <v>35</v>
      </c>
      <c r="N21" s="3"/>
      <c r="AC21" s="10" t="s">
        <v>12</v>
      </c>
      <c r="AD21" s="10" t="s">
        <v>12</v>
      </c>
      <c r="AE21" s="10" t="s">
        <v>12</v>
      </c>
      <c r="AF21" s="10" t="s">
        <v>12</v>
      </c>
      <c r="AG21" s="10" t="s">
        <v>12</v>
      </c>
      <c r="AH21" s="10" t="s">
        <v>12</v>
      </c>
    </row>
    <row r="22" spans="1:39" ht="29" x14ac:dyDescent="0.35">
      <c r="A22" s="2">
        <v>217</v>
      </c>
      <c r="B22" s="15" t="s">
        <v>57</v>
      </c>
      <c r="C22" s="2">
        <v>0</v>
      </c>
      <c r="D22" s="3">
        <v>46241</v>
      </c>
      <c r="E22" s="3">
        <v>46275</v>
      </c>
      <c r="F22" s="2">
        <v>0</v>
      </c>
      <c r="G22" s="2">
        <v>0</v>
      </c>
      <c r="H22" s="2">
        <v>0</v>
      </c>
      <c r="I22" s="3">
        <v>46295</v>
      </c>
      <c r="J22" s="3">
        <f>Т_График[[#This Row],[Разраб]]+Т_График[[#This Row],[К]]</f>
        <v>46275</v>
      </c>
      <c r="K22" s="3">
        <f>Т_График[[#This Row],[Разраб]]+Т_График[[#This Row],[К]]+Т_График[[#This Row],[О]]</f>
        <v>46275</v>
      </c>
      <c r="L22" s="3">
        <f>Т_График[[#This Row],[Разраб]]+Т_График[[#This Row],[К]]+Т_График[[#This Row],[О]]+Т_График[[#This Row],[С]]</f>
        <v>46275</v>
      </c>
      <c r="M22" s="5">
        <f>Т_График[[#This Row],[Разраб]]-Т_График[[#This Row],[Рассм]]</f>
        <v>34</v>
      </c>
      <c r="N22" s="3"/>
      <c r="AE22" s="10" t="s">
        <v>12</v>
      </c>
      <c r="AF22" s="10" t="s">
        <v>12</v>
      </c>
      <c r="AG22" s="10" t="s">
        <v>12</v>
      </c>
      <c r="AH22" s="10" t="s">
        <v>12</v>
      </c>
      <c r="AI22" s="10" t="s">
        <v>12</v>
      </c>
      <c r="AJ22" s="10" t="s">
        <v>12</v>
      </c>
    </row>
    <row r="23" spans="1:39" x14ac:dyDescent="0.35">
      <c r="A23" s="2">
        <v>220</v>
      </c>
      <c r="B23" s="15" t="s">
        <v>58</v>
      </c>
      <c r="C23" s="2">
        <v>0</v>
      </c>
      <c r="D23" s="18">
        <v>46235</v>
      </c>
      <c r="E23" s="18">
        <v>46295</v>
      </c>
      <c r="F23" s="2">
        <v>0</v>
      </c>
      <c r="G23" s="2">
        <v>0</v>
      </c>
      <c r="H23" s="2">
        <v>0</v>
      </c>
      <c r="I23" s="3"/>
      <c r="J23" s="3">
        <f>Т_График[[#This Row],[Разраб]]+Т_График[[#This Row],[К]]</f>
        <v>46295</v>
      </c>
      <c r="K23" s="3">
        <f>Т_График[[#This Row],[Разраб]]+Т_График[[#This Row],[К]]+Т_График[[#This Row],[О]]</f>
        <v>46295</v>
      </c>
      <c r="L23" s="3">
        <f>Т_График[[#This Row],[Разраб]]+Т_График[[#This Row],[К]]+Т_График[[#This Row],[О]]+Т_График[[#This Row],[С]]</f>
        <v>46295</v>
      </c>
      <c r="M23" s="5">
        <f>Т_График[[#This Row],[Разраб]]-Т_График[[#This Row],[Рассм]]</f>
        <v>60</v>
      </c>
      <c r="N23" s="3"/>
      <c r="AD23" s="10" t="s">
        <v>12</v>
      </c>
      <c r="AE23" s="10" t="s">
        <v>12</v>
      </c>
      <c r="AF23" s="10" t="s">
        <v>12</v>
      </c>
      <c r="AG23" s="10" t="s">
        <v>12</v>
      </c>
      <c r="AH23" s="10" t="s">
        <v>12</v>
      </c>
      <c r="AI23" s="10" t="s">
        <v>12</v>
      </c>
      <c r="AJ23" s="10" t="s">
        <v>12</v>
      </c>
      <c r="AK23" s="10" t="s">
        <v>12</v>
      </c>
      <c r="AL23" s="10" t="s">
        <v>12</v>
      </c>
      <c r="AM23" s="10" t="s">
        <v>12</v>
      </c>
    </row>
    <row r="24" spans="1:39" x14ac:dyDescent="0.35">
      <c r="A24" s="2">
        <v>222</v>
      </c>
      <c r="B24" s="15" t="s">
        <v>59</v>
      </c>
      <c r="C24" s="2">
        <v>0</v>
      </c>
      <c r="D24" s="18">
        <v>46235</v>
      </c>
      <c r="E24" s="18">
        <v>46295</v>
      </c>
      <c r="F24" s="2">
        <v>0</v>
      </c>
      <c r="G24" s="2">
        <v>0</v>
      </c>
      <c r="H24" s="2">
        <v>0</v>
      </c>
      <c r="I24" s="3"/>
      <c r="J24" s="3">
        <f>Т_График[[#This Row],[Разраб]]+Т_График[[#This Row],[К]]</f>
        <v>46295</v>
      </c>
      <c r="K24" s="3">
        <f>Т_График[[#This Row],[Разраб]]+Т_График[[#This Row],[К]]+Т_График[[#This Row],[О]]</f>
        <v>46295</v>
      </c>
      <c r="L24" s="3">
        <f>Т_График[[#This Row],[Разраб]]+Т_График[[#This Row],[К]]+Т_График[[#This Row],[О]]+Т_График[[#This Row],[С]]</f>
        <v>46295</v>
      </c>
      <c r="M24" s="5">
        <f>Т_График[[#This Row],[Разраб]]-Т_График[[#This Row],[Рассм]]</f>
        <v>60</v>
      </c>
      <c r="N24" s="3"/>
      <c r="AD24" s="10" t="s">
        <v>12</v>
      </c>
      <c r="AE24" s="10" t="s">
        <v>12</v>
      </c>
      <c r="AF24" s="10" t="s">
        <v>12</v>
      </c>
      <c r="AG24" s="10" t="s">
        <v>12</v>
      </c>
      <c r="AH24" s="10" t="s">
        <v>12</v>
      </c>
      <c r="AI24" s="10" t="s">
        <v>12</v>
      </c>
      <c r="AJ24" s="10" t="s">
        <v>12</v>
      </c>
      <c r="AK24" s="10" t="s">
        <v>12</v>
      </c>
      <c r="AL24" s="10" t="s">
        <v>12</v>
      </c>
      <c r="AM24" s="10" t="s">
        <v>12</v>
      </c>
    </row>
    <row r="25" spans="1:39" x14ac:dyDescent="0.35">
      <c r="A25" s="2">
        <v>224</v>
      </c>
      <c r="B25" s="15" t="s">
        <v>60</v>
      </c>
      <c r="C25" s="2">
        <v>0</v>
      </c>
      <c r="D25" s="18">
        <v>46235</v>
      </c>
      <c r="E25" s="18">
        <v>46295</v>
      </c>
      <c r="F25" s="2">
        <v>0</v>
      </c>
      <c r="G25" s="2">
        <v>0</v>
      </c>
      <c r="H25" s="2">
        <v>0</v>
      </c>
      <c r="I25" s="3"/>
      <c r="J25" s="3">
        <f>Т_График[[#This Row],[Разраб]]+Т_График[[#This Row],[К]]</f>
        <v>46295</v>
      </c>
      <c r="K25" s="3">
        <f>Т_График[[#This Row],[Разраб]]+Т_График[[#This Row],[К]]+Т_График[[#This Row],[О]]</f>
        <v>46295</v>
      </c>
      <c r="L25" s="3">
        <f>Т_График[[#This Row],[Разраб]]+Т_График[[#This Row],[К]]+Т_График[[#This Row],[О]]+Т_График[[#This Row],[С]]</f>
        <v>46295</v>
      </c>
      <c r="M25" s="5">
        <f>Т_График[[#This Row],[Разраб]]-Т_График[[#This Row],[Рассм]]</f>
        <v>60</v>
      </c>
      <c r="N25" s="3"/>
      <c r="AD25" s="10" t="s">
        <v>12</v>
      </c>
      <c r="AE25" s="10" t="s">
        <v>12</v>
      </c>
      <c r="AF25" s="10" t="s">
        <v>12</v>
      </c>
      <c r="AG25" s="10" t="s">
        <v>12</v>
      </c>
      <c r="AH25" s="10" t="s">
        <v>12</v>
      </c>
      <c r="AI25" s="10" t="s">
        <v>12</v>
      </c>
      <c r="AJ25" s="10" t="s">
        <v>12</v>
      </c>
      <c r="AK25" s="10" t="s">
        <v>12</v>
      </c>
      <c r="AL25" s="10" t="s">
        <v>12</v>
      </c>
      <c r="AM25" s="10" t="s">
        <v>12</v>
      </c>
    </row>
    <row r="26" spans="1:39" ht="29" x14ac:dyDescent="0.35">
      <c r="A26" s="2">
        <v>226</v>
      </c>
      <c r="B26" s="15" t="s">
        <v>61</v>
      </c>
      <c r="C26" s="2">
        <v>0</v>
      </c>
      <c r="D26" s="18">
        <v>46235</v>
      </c>
      <c r="E26" s="18">
        <v>46295</v>
      </c>
      <c r="F26" s="2">
        <v>0</v>
      </c>
      <c r="G26" s="2">
        <v>0</v>
      </c>
      <c r="H26" s="2">
        <v>0</v>
      </c>
      <c r="I26" s="3"/>
      <c r="J26" s="3">
        <f>Т_График[[#This Row],[Разраб]]+Т_График[[#This Row],[К]]</f>
        <v>46295</v>
      </c>
      <c r="K26" s="3">
        <f>Т_График[[#This Row],[Разраб]]+Т_График[[#This Row],[К]]+Т_График[[#This Row],[О]]</f>
        <v>46295</v>
      </c>
      <c r="L26" s="3">
        <f>Т_График[[#This Row],[Разраб]]+Т_График[[#This Row],[К]]+Т_График[[#This Row],[О]]+Т_График[[#This Row],[С]]</f>
        <v>46295</v>
      </c>
      <c r="M26" s="5">
        <f>Т_График[[#This Row],[Разраб]]-Т_График[[#This Row],[Рассм]]</f>
        <v>60</v>
      </c>
      <c r="N26" s="3"/>
      <c r="AD26" s="10" t="s">
        <v>12</v>
      </c>
      <c r="AE26" s="10" t="s">
        <v>12</v>
      </c>
      <c r="AF26" s="10" t="s">
        <v>12</v>
      </c>
      <c r="AG26" s="10" t="s">
        <v>12</v>
      </c>
      <c r="AH26" s="10" t="s">
        <v>12</v>
      </c>
      <c r="AI26" s="10" t="s">
        <v>12</v>
      </c>
      <c r="AJ26" s="10" t="s">
        <v>12</v>
      </c>
      <c r="AK26" s="10" t="s">
        <v>12</v>
      </c>
      <c r="AL26" s="10" t="s">
        <v>12</v>
      </c>
      <c r="AM26" s="10" t="s">
        <v>12</v>
      </c>
    </row>
    <row r="27" spans="1:39" ht="29" x14ac:dyDescent="0.35">
      <c r="A27" s="2">
        <v>228</v>
      </c>
      <c r="B27" s="15" t="s">
        <v>62</v>
      </c>
      <c r="C27" s="2">
        <v>0</v>
      </c>
      <c r="D27" s="18">
        <v>46235</v>
      </c>
      <c r="E27" s="18">
        <v>46295</v>
      </c>
      <c r="F27" s="2">
        <v>0</v>
      </c>
      <c r="G27" s="2">
        <v>0</v>
      </c>
      <c r="H27" s="2">
        <v>0</v>
      </c>
      <c r="I27" s="3"/>
      <c r="J27" s="3">
        <f>Т_График[[#This Row],[Разраб]]+Т_График[[#This Row],[К]]</f>
        <v>46295</v>
      </c>
      <c r="K27" s="3">
        <f>Т_График[[#This Row],[Разраб]]+Т_График[[#This Row],[К]]+Т_График[[#This Row],[О]]</f>
        <v>46295</v>
      </c>
      <c r="L27" s="3">
        <f>Т_График[[#This Row],[Разраб]]+Т_График[[#This Row],[К]]+Т_График[[#This Row],[О]]+Т_График[[#This Row],[С]]</f>
        <v>46295</v>
      </c>
      <c r="M27" s="5">
        <f>Т_График[[#This Row],[Разраб]]-Т_График[[#This Row],[Рассм]]</f>
        <v>60</v>
      </c>
      <c r="N27" s="3"/>
      <c r="AD27" s="10" t="s">
        <v>12</v>
      </c>
      <c r="AE27" s="10" t="s">
        <v>12</v>
      </c>
      <c r="AF27" s="10" t="s">
        <v>12</v>
      </c>
      <c r="AG27" s="10" t="s">
        <v>12</v>
      </c>
      <c r="AH27" s="10" t="s">
        <v>12</v>
      </c>
      <c r="AI27" s="10" t="s">
        <v>12</v>
      </c>
      <c r="AJ27" s="10" t="s">
        <v>12</v>
      </c>
      <c r="AK27" s="10" t="s">
        <v>12</v>
      </c>
      <c r="AL27" s="10" t="s">
        <v>12</v>
      </c>
      <c r="AM27" s="10" t="s">
        <v>12</v>
      </c>
    </row>
    <row r="28" spans="1:39" ht="29" x14ac:dyDescent="0.35">
      <c r="A28" s="2">
        <v>230</v>
      </c>
      <c r="B28" s="15" t="s">
        <v>63</v>
      </c>
      <c r="C28" s="2">
        <v>0</v>
      </c>
      <c r="D28" s="18">
        <v>46235</v>
      </c>
      <c r="E28" s="18">
        <v>46295</v>
      </c>
      <c r="F28" s="2">
        <v>0</v>
      </c>
      <c r="G28" s="2">
        <v>0</v>
      </c>
      <c r="H28" s="2">
        <v>0</v>
      </c>
      <c r="I28" s="3"/>
      <c r="J28" s="3">
        <f>Т_График[[#This Row],[Разраб]]+Т_График[[#This Row],[К]]</f>
        <v>46295</v>
      </c>
      <c r="K28" s="3">
        <f>Т_График[[#This Row],[Разраб]]+Т_График[[#This Row],[К]]+Т_График[[#This Row],[О]]</f>
        <v>46295</v>
      </c>
      <c r="L28" s="3">
        <f>Т_График[[#This Row],[Разраб]]+Т_График[[#This Row],[К]]+Т_График[[#This Row],[О]]+Т_График[[#This Row],[С]]</f>
        <v>46295</v>
      </c>
      <c r="M28" s="5">
        <f>Т_График[[#This Row],[Разраб]]-Т_График[[#This Row],[Рассм]]</f>
        <v>60</v>
      </c>
      <c r="N28" s="3"/>
      <c r="AD28" s="10" t="s">
        <v>12</v>
      </c>
      <c r="AE28" s="10" t="s">
        <v>12</v>
      </c>
      <c r="AF28" s="10" t="s">
        <v>12</v>
      </c>
      <c r="AG28" s="10" t="s">
        <v>12</v>
      </c>
      <c r="AH28" s="10" t="s">
        <v>12</v>
      </c>
      <c r="AI28" s="10" t="s">
        <v>12</v>
      </c>
      <c r="AJ28" s="10" t="s">
        <v>12</v>
      </c>
      <c r="AK28" s="10" t="s">
        <v>12</v>
      </c>
      <c r="AL28" s="10" t="s">
        <v>12</v>
      </c>
      <c r="AM28" s="10" t="s">
        <v>12</v>
      </c>
    </row>
    <row r="29" spans="1:39" ht="29" x14ac:dyDescent="0.35">
      <c r="A29" s="2">
        <v>232</v>
      </c>
      <c r="B29" s="15" t="s">
        <v>64</v>
      </c>
      <c r="C29" s="2">
        <v>0</v>
      </c>
      <c r="D29" s="18">
        <v>46235</v>
      </c>
      <c r="E29" s="18">
        <v>46295</v>
      </c>
      <c r="F29" s="2">
        <v>0</v>
      </c>
      <c r="G29" s="2">
        <v>0</v>
      </c>
      <c r="H29" s="2">
        <v>0</v>
      </c>
      <c r="I29" s="3"/>
      <c r="J29" s="3">
        <f>Т_График[[#This Row],[Разраб]]+Т_График[[#This Row],[К]]</f>
        <v>46295</v>
      </c>
      <c r="K29" s="3">
        <f>Т_График[[#This Row],[Разраб]]+Т_График[[#This Row],[К]]+Т_График[[#This Row],[О]]</f>
        <v>46295</v>
      </c>
      <c r="L29" s="3">
        <f>Т_График[[#This Row],[Разраб]]+Т_График[[#This Row],[К]]+Т_График[[#This Row],[О]]+Т_График[[#This Row],[С]]</f>
        <v>46295</v>
      </c>
      <c r="M29" s="5">
        <f>Т_График[[#This Row],[Разраб]]-Т_График[[#This Row],[Рассм]]</f>
        <v>60</v>
      </c>
      <c r="N29" s="3"/>
      <c r="AD29" s="10" t="s">
        <v>12</v>
      </c>
      <c r="AE29" s="10" t="s">
        <v>12</v>
      </c>
      <c r="AF29" s="10" t="s">
        <v>12</v>
      </c>
      <c r="AG29" s="10" t="s">
        <v>12</v>
      </c>
      <c r="AH29" s="10" t="s">
        <v>12</v>
      </c>
      <c r="AI29" s="10" t="s">
        <v>12</v>
      </c>
      <c r="AJ29" s="10" t="s">
        <v>12</v>
      </c>
      <c r="AK29" s="10" t="s">
        <v>12</v>
      </c>
      <c r="AL29" s="10" t="s">
        <v>12</v>
      </c>
      <c r="AM29" s="10" t="s">
        <v>12</v>
      </c>
    </row>
    <row r="30" spans="1:39" ht="29" x14ac:dyDescent="0.35">
      <c r="A30" s="2">
        <v>234</v>
      </c>
      <c r="B30" s="15" t="s">
        <v>65</v>
      </c>
      <c r="C30" s="2">
        <v>0</v>
      </c>
      <c r="D30" s="18">
        <v>46235</v>
      </c>
      <c r="E30" s="18">
        <v>46295</v>
      </c>
      <c r="F30" s="2">
        <v>0</v>
      </c>
      <c r="G30" s="2">
        <v>0</v>
      </c>
      <c r="H30" s="2">
        <v>0</v>
      </c>
      <c r="I30" s="3"/>
      <c r="J30" s="3">
        <f>Т_График[[#This Row],[Разраб]]+Т_График[[#This Row],[К]]</f>
        <v>46295</v>
      </c>
      <c r="K30" s="3">
        <f>Т_График[[#This Row],[Разраб]]+Т_График[[#This Row],[К]]+Т_График[[#This Row],[О]]</f>
        <v>46295</v>
      </c>
      <c r="L30" s="3">
        <f>Т_График[[#This Row],[Разраб]]+Т_График[[#This Row],[К]]+Т_График[[#This Row],[О]]+Т_График[[#This Row],[С]]</f>
        <v>46295</v>
      </c>
      <c r="M30" s="5">
        <f>Т_График[[#This Row],[Разраб]]-Т_График[[#This Row],[Рассм]]</f>
        <v>60</v>
      </c>
      <c r="N30" s="3"/>
      <c r="AD30" s="10" t="s">
        <v>12</v>
      </c>
      <c r="AE30" s="10" t="s">
        <v>12</v>
      </c>
      <c r="AF30" s="10" t="s">
        <v>12</v>
      </c>
      <c r="AG30" s="10" t="s">
        <v>12</v>
      </c>
      <c r="AH30" s="10" t="s">
        <v>12</v>
      </c>
      <c r="AI30" s="10" t="s">
        <v>12</v>
      </c>
      <c r="AJ30" s="10" t="s">
        <v>12</v>
      </c>
      <c r="AK30" s="10" t="s">
        <v>12</v>
      </c>
      <c r="AL30" s="10" t="s">
        <v>12</v>
      </c>
      <c r="AM30" s="10" t="s">
        <v>12</v>
      </c>
    </row>
    <row r="31" spans="1:39" ht="29" x14ac:dyDescent="0.35">
      <c r="A31" s="2">
        <v>236</v>
      </c>
      <c r="B31" s="15" t="s">
        <v>66</v>
      </c>
      <c r="C31" s="2">
        <v>0</v>
      </c>
      <c r="D31" s="18">
        <v>46235</v>
      </c>
      <c r="E31" s="18">
        <v>46295</v>
      </c>
      <c r="F31" s="2">
        <v>0</v>
      </c>
      <c r="G31" s="2">
        <v>0</v>
      </c>
      <c r="H31" s="2">
        <v>0</v>
      </c>
      <c r="I31" s="3"/>
      <c r="J31" s="3">
        <f>Т_График[[#This Row],[Разраб]]+Т_График[[#This Row],[К]]</f>
        <v>46295</v>
      </c>
      <c r="K31" s="3">
        <f>Т_График[[#This Row],[Разраб]]+Т_График[[#This Row],[К]]+Т_График[[#This Row],[О]]</f>
        <v>46295</v>
      </c>
      <c r="L31" s="3">
        <f>Т_График[[#This Row],[Разраб]]+Т_График[[#This Row],[К]]+Т_График[[#This Row],[О]]+Т_График[[#This Row],[С]]</f>
        <v>46295</v>
      </c>
      <c r="M31" s="5">
        <f>Т_График[[#This Row],[Разраб]]-Т_График[[#This Row],[Рассм]]</f>
        <v>60</v>
      </c>
      <c r="N31" s="3"/>
      <c r="AD31" s="10" t="s">
        <v>12</v>
      </c>
      <c r="AE31" s="10" t="s">
        <v>12</v>
      </c>
      <c r="AF31" s="10" t="s">
        <v>12</v>
      </c>
      <c r="AG31" s="10" t="s">
        <v>12</v>
      </c>
      <c r="AH31" s="10" t="s">
        <v>12</v>
      </c>
      <c r="AI31" s="10" t="s">
        <v>12</v>
      </c>
      <c r="AJ31" s="10" t="s">
        <v>12</v>
      </c>
      <c r="AK31" s="10" t="s">
        <v>12</v>
      </c>
      <c r="AL31" s="10" t="s">
        <v>12</v>
      </c>
      <c r="AM31" s="10" t="s">
        <v>12</v>
      </c>
    </row>
    <row r="32" spans="1:39" ht="29" x14ac:dyDescent="0.35">
      <c r="A32" s="2">
        <v>238</v>
      </c>
      <c r="B32" s="15" t="s">
        <v>67</v>
      </c>
      <c r="C32" s="2">
        <v>0</v>
      </c>
      <c r="D32" s="18">
        <v>46235</v>
      </c>
      <c r="E32" s="18">
        <v>46295</v>
      </c>
      <c r="F32" s="2">
        <v>0</v>
      </c>
      <c r="G32" s="2">
        <v>0</v>
      </c>
      <c r="H32" s="2">
        <v>0</v>
      </c>
      <c r="I32" s="3"/>
      <c r="J32" s="3">
        <f>Т_График[[#This Row],[Разраб]]+Т_График[[#This Row],[К]]</f>
        <v>46295</v>
      </c>
      <c r="K32" s="3">
        <f>Т_График[[#This Row],[Разраб]]+Т_График[[#This Row],[К]]+Т_График[[#This Row],[О]]</f>
        <v>46295</v>
      </c>
      <c r="L32" s="3">
        <f>Т_График[[#This Row],[Разраб]]+Т_График[[#This Row],[К]]+Т_График[[#This Row],[О]]+Т_График[[#This Row],[С]]</f>
        <v>46295</v>
      </c>
      <c r="M32" s="5">
        <f>Т_График[[#This Row],[Разраб]]-Т_График[[#This Row],[Рассм]]</f>
        <v>60</v>
      </c>
      <c r="N32" s="3"/>
      <c r="AD32" s="10" t="s">
        <v>12</v>
      </c>
      <c r="AE32" s="10" t="s">
        <v>12</v>
      </c>
      <c r="AF32" s="10" t="s">
        <v>12</v>
      </c>
      <c r="AG32" s="10" t="s">
        <v>12</v>
      </c>
      <c r="AH32" s="10" t="s">
        <v>12</v>
      </c>
      <c r="AI32" s="10" t="s">
        <v>12</v>
      </c>
      <c r="AJ32" s="10" t="s">
        <v>12</v>
      </c>
      <c r="AK32" s="10" t="s">
        <v>12</v>
      </c>
      <c r="AL32" s="10" t="s">
        <v>12</v>
      </c>
      <c r="AM32" s="10" t="s">
        <v>12</v>
      </c>
    </row>
    <row r="33" spans="1:43" ht="29" x14ac:dyDescent="0.35">
      <c r="A33" s="2">
        <v>240</v>
      </c>
      <c r="B33" s="15" t="s">
        <v>68</v>
      </c>
      <c r="C33" s="2">
        <v>0</v>
      </c>
      <c r="D33" s="18">
        <v>46235</v>
      </c>
      <c r="E33" s="18">
        <v>46295</v>
      </c>
      <c r="F33" s="2">
        <v>0</v>
      </c>
      <c r="G33" s="2">
        <v>0</v>
      </c>
      <c r="H33" s="2">
        <v>0</v>
      </c>
      <c r="I33" s="3"/>
      <c r="J33" s="3">
        <f>Т_График[[#This Row],[Разраб]]+Т_График[[#This Row],[К]]</f>
        <v>46295</v>
      </c>
      <c r="K33" s="3">
        <f>Т_График[[#This Row],[Разраб]]+Т_График[[#This Row],[К]]+Т_График[[#This Row],[О]]</f>
        <v>46295</v>
      </c>
      <c r="L33" s="3">
        <f>Т_График[[#This Row],[Разраб]]+Т_График[[#This Row],[К]]+Т_График[[#This Row],[О]]+Т_График[[#This Row],[С]]</f>
        <v>46295</v>
      </c>
      <c r="M33" s="5">
        <f>Т_График[[#This Row],[Разраб]]-Т_График[[#This Row],[Рассм]]</f>
        <v>60</v>
      </c>
      <c r="N33" s="3"/>
      <c r="AD33" s="10" t="s">
        <v>12</v>
      </c>
      <c r="AE33" s="10" t="s">
        <v>12</v>
      </c>
      <c r="AF33" s="10" t="s">
        <v>12</v>
      </c>
      <c r="AG33" s="10" t="s">
        <v>12</v>
      </c>
      <c r="AH33" s="10" t="s">
        <v>12</v>
      </c>
      <c r="AI33" s="10" t="s">
        <v>12</v>
      </c>
      <c r="AJ33" s="10" t="s">
        <v>12</v>
      </c>
      <c r="AK33" s="10" t="s">
        <v>12</v>
      </c>
      <c r="AL33" s="10" t="s">
        <v>12</v>
      </c>
      <c r="AM33" s="10" t="s">
        <v>12</v>
      </c>
    </row>
    <row r="34" spans="1:43" ht="29" x14ac:dyDescent="0.35">
      <c r="A34" s="2">
        <v>242</v>
      </c>
      <c r="B34" s="15" t="s">
        <v>69</v>
      </c>
      <c r="C34" s="2">
        <v>0</v>
      </c>
      <c r="D34" s="18">
        <v>46235</v>
      </c>
      <c r="E34" s="18">
        <v>46295</v>
      </c>
      <c r="F34" s="2">
        <v>0</v>
      </c>
      <c r="G34" s="2">
        <v>0</v>
      </c>
      <c r="H34" s="2">
        <v>0</v>
      </c>
      <c r="I34" s="3"/>
      <c r="J34" s="3">
        <f>Т_График[[#This Row],[Разраб]]+Т_График[[#This Row],[К]]</f>
        <v>46295</v>
      </c>
      <c r="K34" s="3">
        <f>Т_График[[#This Row],[Разраб]]+Т_График[[#This Row],[К]]+Т_График[[#This Row],[О]]</f>
        <v>46295</v>
      </c>
      <c r="L34" s="3">
        <f>Т_График[[#This Row],[Разраб]]+Т_График[[#This Row],[К]]+Т_График[[#This Row],[О]]+Т_График[[#This Row],[С]]</f>
        <v>46295</v>
      </c>
      <c r="M34" s="5">
        <f>Т_График[[#This Row],[Разраб]]-Т_График[[#This Row],[Рассм]]</f>
        <v>60</v>
      </c>
      <c r="N34" s="3"/>
      <c r="AD34" s="10" t="s">
        <v>12</v>
      </c>
      <c r="AE34" s="10" t="s">
        <v>12</v>
      </c>
      <c r="AF34" s="10" t="s">
        <v>12</v>
      </c>
      <c r="AG34" s="10" t="s">
        <v>12</v>
      </c>
      <c r="AH34" s="10" t="s">
        <v>12</v>
      </c>
      <c r="AI34" s="10" t="s">
        <v>12</v>
      </c>
      <c r="AJ34" s="10" t="s">
        <v>12</v>
      </c>
      <c r="AK34" s="10" t="s">
        <v>12</v>
      </c>
      <c r="AL34" s="10" t="s">
        <v>12</v>
      </c>
      <c r="AM34" s="10" t="s">
        <v>12</v>
      </c>
    </row>
    <row r="35" spans="1:43" ht="29" x14ac:dyDescent="0.35">
      <c r="A35" s="2">
        <v>244</v>
      </c>
      <c r="B35" s="15" t="s">
        <v>70</v>
      </c>
      <c r="C35" s="2">
        <v>0</v>
      </c>
      <c r="D35" s="18">
        <v>46235</v>
      </c>
      <c r="E35" s="18">
        <v>46295</v>
      </c>
      <c r="F35" s="2">
        <v>0</v>
      </c>
      <c r="G35" s="2">
        <v>0</v>
      </c>
      <c r="H35" s="2">
        <v>0</v>
      </c>
      <c r="I35" s="3"/>
      <c r="J35" s="3">
        <f>Т_График[[#This Row],[Разраб]]+Т_График[[#This Row],[К]]</f>
        <v>46295</v>
      </c>
      <c r="K35" s="3">
        <f>Т_График[[#This Row],[Разраб]]+Т_График[[#This Row],[К]]+Т_График[[#This Row],[О]]</f>
        <v>46295</v>
      </c>
      <c r="L35" s="3">
        <f>Т_График[[#This Row],[Разраб]]+Т_График[[#This Row],[К]]+Т_График[[#This Row],[О]]+Т_График[[#This Row],[С]]</f>
        <v>46295</v>
      </c>
      <c r="M35" s="5">
        <f>Т_График[[#This Row],[Разраб]]-Т_График[[#This Row],[Рассм]]</f>
        <v>60</v>
      </c>
      <c r="N35" s="3"/>
      <c r="AD35" s="10" t="s">
        <v>12</v>
      </c>
      <c r="AE35" s="10" t="s">
        <v>12</v>
      </c>
      <c r="AF35" s="10" t="s">
        <v>12</v>
      </c>
      <c r="AG35" s="10" t="s">
        <v>12</v>
      </c>
      <c r="AH35" s="10" t="s">
        <v>12</v>
      </c>
      <c r="AI35" s="10" t="s">
        <v>12</v>
      </c>
      <c r="AJ35" s="10" t="s">
        <v>12</v>
      </c>
      <c r="AK35" s="10" t="s">
        <v>12</v>
      </c>
      <c r="AL35" s="10" t="s">
        <v>12</v>
      </c>
      <c r="AM35" s="10" t="s">
        <v>12</v>
      </c>
    </row>
    <row r="36" spans="1:43" ht="29" x14ac:dyDescent="0.35">
      <c r="A36" s="2">
        <v>246</v>
      </c>
      <c r="B36" s="15" t="s">
        <v>71</v>
      </c>
      <c r="C36" s="2">
        <v>0</v>
      </c>
      <c r="D36" s="18">
        <v>46235</v>
      </c>
      <c r="E36" s="18">
        <v>46295</v>
      </c>
      <c r="F36" s="2">
        <v>0</v>
      </c>
      <c r="G36" s="2">
        <v>0</v>
      </c>
      <c r="H36" s="2">
        <v>0</v>
      </c>
      <c r="I36" s="3"/>
      <c r="J36" s="3">
        <f>Т_График[[#This Row],[Разраб]]+Т_График[[#This Row],[К]]</f>
        <v>46295</v>
      </c>
      <c r="K36" s="3">
        <f>Т_График[[#This Row],[Разраб]]+Т_График[[#This Row],[К]]+Т_График[[#This Row],[О]]</f>
        <v>46295</v>
      </c>
      <c r="L36" s="3">
        <f>Т_График[[#This Row],[Разраб]]+Т_График[[#This Row],[К]]+Т_График[[#This Row],[О]]+Т_График[[#This Row],[С]]</f>
        <v>46295</v>
      </c>
      <c r="M36" s="5">
        <f>Т_График[[#This Row],[Разраб]]-Т_График[[#This Row],[Рассм]]</f>
        <v>60</v>
      </c>
      <c r="N36" s="3"/>
      <c r="AD36" s="10" t="s">
        <v>12</v>
      </c>
      <c r="AE36" s="10" t="s">
        <v>12</v>
      </c>
      <c r="AF36" s="10" t="s">
        <v>12</v>
      </c>
      <c r="AG36" s="10" t="s">
        <v>12</v>
      </c>
      <c r="AH36" s="10" t="s">
        <v>12</v>
      </c>
      <c r="AI36" s="10" t="s">
        <v>12</v>
      </c>
      <c r="AJ36" s="10" t="s">
        <v>12</v>
      </c>
      <c r="AK36" s="10" t="s">
        <v>12</v>
      </c>
      <c r="AL36" s="10" t="s">
        <v>12</v>
      </c>
      <c r="AM36" s="10" t="s">
        <v>12</v>
      </c>
    </row>
    <row r="37" spans="1:43" ht="29" x14ac:dyDescent="0.35">
      <c r="A37" s="2">
        <v>248</v>
      </c>
      <c r="B37" s="15" t="s">
        <v>72</v>
      </c>
      <c r="C37" s="2">
        <v>0</v>
      </c>
      <c r="D37" s="18">
        <v>46235</v>
      </c>
      <c r="E37" s="18">
        <v>46295</v>
      </c>
      <c r="F37" s="2">
        <v>0</v>
      </c>
      <c r="G37" s="2">
        <v>0</v>
      </c>
      <c r="H37" s="2">
        <v>0</v>
      </c>
      <c r="I37" s="3"/>
      <c r="J37" s="3">
        <f>Т_График[[#This Row],[Разраб]]+Т_График[[#This Row],[К]]</f>
        <v>46295</v>
      </c>
      <c r="K37" s="3">
        <f>Т_График[[#This Row],[Разраб]]+Т_График[[#This Row],[К]]+Т_График[[#This Row],[О]]</f>
        <v>46295</v>
      </c>
      <c r="L37" s="3">
        <f>Т_График[[#This Row],[Разраб]]+Т_График[[#This Row],[К]]+Т_График[[#This Row],[О]]+Т_График[[#This Row],[С]]</f>
        <v>46295</v>
      </c>
      <c r="M37" s="5">
        <f>Т_График[[#This Row],[Разраб]]-Т_График[[#This Row],[Рассм]]</f>
        <v>60</v>
      </c>
      <c r="N37" s="3"/>
      <c r="AD37" s="10" t="s">
        <v>12</v>
      </c>
      <c r="AE37" s="10" t="s">
        <v>12</v>
      </c>
      <c r="AF37" s="10" t="s">
        <v>12</v>
      </c>
      <c r="AG37" s="10" t="s">
        <v>12</v>
      </c>
      <c r="AH37" s="10" t="s">
        <v>12</v>
      </c>
      <c r="AI37" s="10" t="s">
        <v>12</v>
      </c>
      <c r="AJ37" s="10" t="s">
        <v>12</v>
      </c>
      <c r="AK37" s="10" t="s">
        <v>12</v>
      </c>
      <c r="AL37" s="10" t="s">
        <v>12</v>
      </c>
      <c r="AM37" s="10" t="s">
        <v>12</v>
      </c>
    </row>
    <row r="38" spans="1:43" x14ac:dyDescent="0.35">
      <c r="A38" s="2">
        <v>250</v>
      </c>
      <c r="B38" s="15" t="s">
        <v>73</v>
      </c>
      <c r="C38" s="2">
        <v>0</v>
      </c>
      <c r="D38" s="18">
        <v>46235</v>
      </c>
      <c r="E38" s="18">
        <v>46295</v>
      </c>
      <c r="F38" s="2">
        <v>0</v>
      </c>
      <c r="G38" s="2">
        <v>0</v>
      </c>
      <c r="H38" s="2">
        <v>0</v>
      </c>
      <c r="I38" s="3"/>
      <c r="J38" s="3">
        <f>Т_График[[#This Row],[Разраб]]+Т_График[[#This Row],[К]]</f>
        <v>46295</v>
      </c>
      <c r="K38" s="3">
        <f>Т_График[[#This Row],[Разраб]]+Т_График[[#This Row],[К]]+Т_График[[#This Row],[О]]</f>
        <v>46295</v>
      </c>
      <c r="L38" s="3">
        <f>Т_График[[#This Row],[Разраб]]+Т_График[[#This Row],[К]]+Т_График[[#This Row],[О]]+Т_График[[#This Row],[С]]</f>
        <v>46295</v>
      </c>
      <c r="M38" s="5">
        <f>Т_График[[#This Row],[Разраб]]-Т_График[[#This Row],[Рассм]]</f>
        <v>60</v>
      </c>
      <c r="N38" s="3"/>
      <c r="AD38" s="10" t="s">
        <v>12</v>
      </c>
      <c r="AE38" s="10" t="s">
        <v>12</v>
      </c>
      <c r="AF38" s="10" t="s">
        <v>12</v>
      </c>
      <c r="AG38" s="10" t="s">
        <v>12</v>
      </c>
      <c r="AH38" s="10" t="s">
        <v>12</v>
      </c>
      <c r="AI38" s="10" t="s">
        <v>12</v>
      </c>
      <c r="AJ38" s="10" t="s">
        <v>12</v>
      </c>
      <c r="AK38" s="10" t="s">
        <v>12</v>
      </c>
      <c r="AL38" s="10" t="s">
        <v>12</v>
      </c>
      <c r="AM38" s="10" t="s">
        <v>12</v>
      </c>
    </row>
    <row r="39" spans="1:43" x14ac:dyDescent="0.35">
      <c r="A39" s="2">
        <v>218</v>
      </c>
      <c r="B39" s="15" t="s">
        <v>96</v>
      </c>
      <c r="C39" s="2">
        <v>0</v>
      </c>
      <c r="D39" s="18">
        <v>46235</v>
      </c>
      <c r="E39" s="18">
        <v>46249</v>
      </c>
      <c r="F39" s="2">
        <v>0</v>
      </c>
      <c r="G39" s="2">
        <v>0</v>
      </c>
      <c r="H39" s="2">
        <v>0</v>
      </c>
      <c r="I39" s="3"/>
      <c r="J39" s="3">
        <f>Т_График[[#This Row],[Разраб]]+Т_График[[#This Row],[К]]</f>
        <v>46249</v>
      </c>
      <c r="K39" s="3">
        <f>Т_График[[#This Row],[Разраб]]+Т_График[[#This Row],[К]]+Т_График[[#This Row],[О]]</f>
        <v>46249</v>
      </c>
      <c r="L39" s="3">
        <f>Т_График[[#This Row],[Разраб]]+Т_График[[#This Row],[К]]+Т_График[[#This Row],[О]]+Т_График[[#This Row],[С]]</f>
        <v>46249</v>
      </c>
      <c r="M39" s="5">
        <f>Т_График[[#This Row],[Разраб]]-Т_График[[#This Row],[Рассм]]</f>
        <v>14</v>
      </c>
      <c r="N39" s="3"/>
      <c r="AD39" s="10" t="s">
        <v>12</v>
      </c>
      <c r="AE39" s="10" t="s">
        <v>12</v>
      </c>
      <c r="AF39" s="10" t="s">
        <v>12</v>
      </c>
    </row>
    <row r="40" spans="1:43" ht="29" x14ac:dyDescent="0.35">
      <c r="A40" s="2">
        <v>252</v>
      </c>
      <c r="B40" s="15" t="s">
        <v>97</v>
      </c>
      <c r="C40" s="2">
        <v>0</v>
      </c>
      <c r="D40" s="18">
        <v>46235</v>
      </c>
      <c r="E40" s="18">
        <v>46295</v>
      </c>
      <c r="F40" s="2">
        <v>0</v>
      </c>
      <c r="G40" s="2">
        <v>0</v>
      </c>
      <c r="H40" s="2">
        <v>0</v>
      </c>
      <c r="I40" s="3"/>
      <c r="J40" s="3">
        <f>Т_График[[#This Row],[Разраб]]+Т_График[[#This Row],[К]]</f>
        <v>46295</v>
      </c>
      <c r="K40" s="3">
        <f>Т_График[[#This Row],[Разраб]]+Т_График[[#This Row],[К]]+Т_График[[#This Row],[О]]</f>
        <v>46295</v>
      </c>
      <c r="L40" s="3">
        <f>Т_График[[#This Row],[Разраб]]+Т_График[[#This Row],[К]]+Т_График[[#This Row],[О]]+Т_График[[#This Row],[С]]</f>
        <v>46295</v>
      </c>
      <c r="M40" s="5">
        <f>Т_График[[#This Row],[Разраб]]-Т_График[[#This Row],[Рассм]]</f>
        <v>60</v>
      </c>
      <c r="N40" s="3"/>
      <c r="AD40" s="10" t="s">
        <v>12</v>
      </c>
      <c r="AE40" s="10" t="s">
        <v>12</v>
      </c>
      <c r="AF40" s="10" t="s">
        <v>12</v>
      </c>
      <c r="AG40" s="10" t="s">
        <v>12</v>
      </c>
      <c r="AH40" s="10" t="s">
        <v>12</v>
      </c>
      <c r="AI40" s="10" t="s">
        <v>12</v>
      </c>
      <c r="AJ40" s="10" t="s">
        <v>12</v>
      </c>
      <c r="AK40" s="10" t="s">
        <v>12</v>
      </c>
      <c r="AL40" s="10" t="s">
        <v>12</v>
      </c>
      <c r="AM40" s="10" t="s">
        <v>12</v>
      </c>
    </row>
    <row r="41" spans="1:43" ht="29" x14ac:dyDescent="0.35">
      <c r="A41" s="2">
        <v>306</v>
      </c>
      <c r="B41" s="15" t="s">
        <v>98</v>
      </c>
      <c r="C41" s="2">
        <v>0</v>
      </c>
      <c r="D41" s="18">
        <v>46235</v>
      </c>
      <c r="E41" s="18">
        <v>46295</v>
      </c>
      <c r="F41" s="2">
        <v>0</v>
      </c>
      <c r="G41" s="2">
        <v>0</v>
      </c>
      <c r="H41" s="2">
        <v>0</v>
      </c>
      <c r="I41" s="3"/>
      <c r="J41" s="3">
        <f>Т_График[[#This Row],[Разраб]]+Т_График[[#This Row],[К]]</f>
        <v>46295</v>
      </c>
      <c r="K41" s="3">
        <f>Т_График[[#This Row],[Разраб]]+Т_График[[#This Row],[К]]+Т_График[[#This Row],[О]]</f>
        <v>46295</v>
      </c>
      <c r="L41" s="3">
        <f>Т_График[[#This Row],[Разраб]]+Т_График[[#This Row],[К]]+Т_График[[#This Row],[О]]+Т_График[[#This Row],[С]]</f>
        <v>46295</v>
      </c>
      <c r="M41" s="5">
        <f>Т_График[[#This Row],[Разраб]]-Т_График[[#This Row],[Рассм]]</f>
        <v>60</v>
      </c>
      <c r="N41" s="3"/>
      <c r="AD41" s="10" t="s">
        <v>12</v>
      </c>
      <c r="AE41" s="10" t="s">
        <v>12</v>
      </c>
      <c r="AF41" s="10" t="s">
        <v>12</v>
      </c>
      <c r="AG41" s="10" t="s">
        <v>12</v>
      </c>
      <c r="AH41" s="10" t="s">
        <v>12</v>
      </c>
      <c r="AI41" s="10" t="s">
        <v>12</v>
      </c>
      <c r="AJ41" s="10" t="s">
        <v>12</v>
      </c>
      <c r="AK41" s="10" t="s">
        <v>12</v>
      </c>
      <c r="AL41" s="10" t="s">
        <v>12</v>
      </c>
      <c r="AM41" s="10" t="s">
        <v>12</v>
      </c>
    </row>
    <row r="42" spans="1:43" ht="29" x14ac:dyDescent="0.35">
      <c r="A42" s="2">
        <v>308</v>
      </c>
      <c r="B42" s="15" t="s">
        <v>99</v>
      </c>
      <c r="C42" s="2">
        <v>0</v>
      </c>
      <c r="D42" s="18">
        <v>46235</v>
      </c>
      <c r="E42" s="18">
        <v>46295</v>
      </c>
      <c r="F42" s="2">
        <v>0</v>
      </c>
      <c r="G42" s="2">
        <v>0</v>
      </c>
      <c r="H42" s="2">
        <v>0</v>
      </c>
      <c r="I42" s="3"/>
      <c r="J42" s="3">
        <f>Т_График[[#This Row],[Разраб]]+Т_График[[#This Row],[К]]</f>
        <v>46295</v>
      </c>
      <c r="K42" s="3">
        <f>Т_График[[#This Row],[Разраб]]+Т_График[[#This Row],[К]]+Т_График[[#This Row],[О]]</f>
        <v>46295</v>
      </c>
      <c r="L42" s="3">
        <f>Т_График[[#This Row],[Разраб]]+Т_График[[#This Row],[К]]+Т_График[[#This Row],[О]]+Т_График[[#This Row],[С]]</f>
        <v>46295</v>
      </c>
      <c r="M42" s="5">
        <f>Т_График[[#This Row],[Разраб]]-Т_График[[#This Row],[Рассм]]</f>
        <v>60</v>
      </c>
      <c r="N42" s="3"/>
      <c r="AD42" s="10" t="s">
        <v>12</v>
      </c>
      <c r="AE42" s="10" t="s">
        <v>12</v>
      </c>
      <c r="AF42" s="10" t="s">
        <v>12</v>
      </c>
      <c r="AG42" s="10" t="s">
        <v>12</v>
      </c>
      <c r="AH42" s="10" t="s">
        <v>12</v>
      </c>
      <c r="AI42" s="10" t="s">
        <v>12</v>
      </c>
      <c r="AJ42" s="10" t="s">
        <v>12</v>
      </c>
      <c r="AK42" s="10" t="s">
        <v>12</v>
      </c>
      <c r="AL42" s="10" t="s">
        <v>12</v>
      </c>
      <c r="AM42" s="10" t="s">
        <v>12</v>
      </c>
    </row>
    <row r="43" spans="1:43" x14ac:dyDescent="0.35">
      <c r="A43" s="2">
        <v>310</v>
      </c>
      <c r="B43" s="15" t="s">
        <v>100</v>
      </c>
      <c r="C43" s="2">
        <v>0</v>
      </c>
      <c r="D43" s="18">
        <v>46235</v>
      </c>
      <c r="E43" s="18">
        <v>46295</v>
      </c>
      <c r="F43" s="2">
        <v>0</v>
      </c>
      <c r="G43" s="2">
        <v>0</v>
      </c>
      <c r="H43" s="2">
        <v>0</v>
      </c>
      <c r="I43" s="3"/>
      <c r="J43" s="3">
        <f>Т_График[[#This Row],[Разраб]]+Т_График[[#This Row],[К]]</f>
        <v>46295</v>
      </c>
      <c r="K43" s="3">
        <f>Т_График[[#This Row],[Разраб]]+Т_График[[#This Row],[К]]+Т_График[[#This Row],[О]]</f>
        <v>46295</v>
      </c>
      <c r="L43" s="3">
        <f>Т_График[[#This Row],[Разраб]]+Т_График[[#This Row],[К]]+Т_График[[#This Row],[О]]+Т_График[[#This Row],[С]]</f>
        <v>46295</v>
      </c>
      <c r="M43" s="5">
        <f>Т_График[[#This Row],[Разраб]]-Т_График[[#This Row],[Рассм]]</f>
        <v>60</v>
      </c>
      <c r="N43" s="3"/>
      <c r="AD43" s="10" t="s">
        <v>12</v>
      </c>
      <c r="AE43" s="10" t="s">
        <v>12</v>
      </c>
      <c r="AF43" s="10" t="s">
        <v>12</v>
      </c>
      <c r="AG43" s="10" t="s">
        <v>12</v>
      </c>
      <c r="AH43" s="10" t="s">
        <v>12</v>
      </c>
      <c r="AI43" s="10" t="s">
        <v>12</v>
      </c>
      <c r="AJ43" s="10" t="s">
        <v>12</v>
      </c>
      <c r="AK43" s="10" t="s">
        <v>12</v>
      </c>
      <c r="AL43" s="10" t="s">
        <v>12</v>
      </c>
      <c r="AM43" s="10" t="s">
        <v>12</v>
      </c>
    </row>
    <row r="44" spans="1:43" ht="29" x14ac:dyDescent="0.35">
      <c r="A44" s="2">
        <v>312</v>
      </c>
      <c r="B44" s="15" t="s">
        <v>101</v>
      </c>
      <c r="C44" s="2">
        <v>0</v>
      </c>
      <c r="D44" s="18">
        <v>46235</v>
      </c>
      <c r="E44" s="18">
        <v>46295</v>
      </c>
      <c r="F44" s="2">
        <v>0</v>
      </c>
      <c r="G44" s="2">
        <v>0</v>
      </c>
      <c r="H44" s="2">
        <v>0</v>
      </c>
      <c r="I44" s="3"/>
      <c r="J44" s="3">
        <f>Т_График[[#This Row],[Разраб]]+Т_График[[#This Row],[К]]</f>
        <v>46295</v>
      </c>
      <c r="K44" s="3">
        <f>Т_График[[#This Row],[Разраб]]+Т_График[[#This Row],[К]]+Т_График[[#This Row],[О]]</f>
        <v>46295</v>
      </c>
      <c r="L44" s="3">
        <f>Т_График[[#This Row],[Разраб]]+Т_График[[#This Row],[К]]+Т_График[[#This Row],[О]]+Т_График[[#This Row],[С]]</f>
        <v>46295</v>
      </c>
      <c r="M44" s="5">
        <f>Т_График[[#This Row],[Разраб]]-Т_График[[#This Row],[Рассм]]</f>
        <v>60</v>
      </c>
      <c r="N44" s="3"/>
      <c r="AD44" s="10" t="s">
        <v>12</v>
      </c>
      <c r="AE44" s="10" t="s">
        <v>12</v>
      </c>
      <c r="AF44" s="10" t="s">
        <v>12</v>
      </c>
      <c r="AG44" s="10" t="s">
        <v>12</v>
      </c>
      <c r="AH44" s="10" t="s">
        <v>12</v>
      </c>
      <c r="AI44" s="10" t="s">
        <v>12</v>
      </c>
      <c r="AJ44" s="10" t="s">
        <v>12</v>
      </c>
      <c r="AK44" s="10" t="s">
        <v>12</v>
      </c>
      <c r="AL44" s="10" t="s">
        <v>12</v>
      </c>
      <c r="AM44" s="10" t="s">
        <v>12</v>
      </c>
    </row>
    <row r="45" spans="1:43" ht="29" x14ac:dyDescent="0.35">
      <c r="A45" s="2">
        <v>254</v>
      </c>
      <c r="B45" s="15" t="s">
        <v>102</v>
      </c>
      <c r="C45" s="2">
        <v>0</v>
      </c>
      <c r="D45" s="18">
        <v>46235</v>
      </c>
      <c r="E45" s="18">
        <v>46310</v>
      </c>
      <c r="F45" s="2">
        <v>0</v>
      </c>
      <c r="G45" s="2">
        <v>0</v>
      </c>
      <c r="H45" s="2">
        <v>0</v>
      </c>
      <c r="I45" s="3"/>
      <c r="J45" s="3">
        <f>Т_График[[#This Row],[Разраб]]+Т_График[[#This Row],[К]]</f>
        <v>46310</v>
      </c>
      <c r="K45" s="3">
        <f>Т_График[[#This Row],[Разраб]]+Т_График[[#This Row],[К]]+Т_График[[#This Row],[О]]</f>
        <v>46310</v>
      </c>
      <c r="L45" s="3">
        <f>Т_График[[#This Row],[Разраб]]+Т_График[[#This Row],[К]]+Т_График[[#This Row],[О]]+Т_График[[#This Row],[С]]</f>
        <v>46310</v>
      </c>
      <c r="M45" s="5">
        <f>Т_График[[#This Row],[Разраб]]-Т_График[[#This Row],[Рассм]]</f>
        <v>75</v>
      </c>
      <c r="N45" s="3"/>
      <c r="AD45" s="10" t="s">
        <v>12</v>
      </c>
      <c r="AE45" s="10" t="s">
        <v>12</v>
      </c>
      <c r="AF45" s="10" t="s">
        <v>12</v>
      </c>
      <c r="AG45" s="10" t="s">
        <v>12</v>
      </c>
      <c r="AH45" s="10" t="s">
        <v>12</v>
      </c>
      <c r="AI45" s="10" t="s">
        <v>12</v>
      </c>
      <c r="AJ45" s="10" t="s">
        <v>12</v>
      </c>
      <c r="AK45" s="10" t="s">
        <v>12</v>
      </c>
      <c r="AL45" s="10" t="s">
        <v>12</v>
      </c>
      <c r="AM45" s="10" t="s">
        <v>12</v>
      </c>
      <c r="AN45" s="10" t="s">
        <v>12</v>
      </c>
      <c r="AO45" s="10" t="s">
        <v>12</v>
      </c>
    </row>
    <row r="46" spans="1:43" ht="29" x14ac:dyDescent="0.35">
      <c r="A46" s="2">
        <v>256</v>
      </c>
      <c r="B46" s="15" t="s">
        <v>74</v>
      </c>
      <c r="C46" s="2">
        <v>0</v>
      </c>
      <c r="D46" s="3">
        <v>46249</v>
      </c>
      <c r="E46" s="3">
        <v>46266</v>
      </c>
      <c r="F46" s="2">
        <v>0</v>
      </c>
      <c r="G46" s="2">
        <v>0</v>
      </c>
      <c r="H46" s="2">
        <v>0</v>
      </c>
      <c r="I46" s="3"/>
      <c r="J46" s="3">
        <f>Т_График[[#This Row],[Разраб]]+Т_График[[#This Row],[К]]</f>
        <v>46266</v>
      </c>
      <c r="K46" s="3">
        <f>Т_График[[#This Row],[Разраб]]+Т_График[[#This Row],[К]]+Т_График[[#This Row],[О]]</f>
        <v>46266</v>
      </c>
      <c r="L46" s="3">
        <f>Т_График[[#This Row],[Разраб]]+Т_График[[#This Row],[К]]+Т_График[[#This Row],[О]]+Т_График[[#This Row],[С]]</f>
        <v>46266</v>
      </c>
      <c r="M46" s="5">
        <f>Т_График[[#This Row],[Разраб]]-Т_График[[#This Row],[Рассм]]</f>
        <v>17</v>
      </c>
      <c r="N46" s="3"/>
      <c r="AF46" s="10" t="s">
        <v>12</v>
      </c>
      <c r="AG46" s="10" t="s">
        <v>12</v>
      </c>
      <c r="AH46" s="10" t="s">
        <v>12</v>
      </c>
    </row>
    <row r="47" spans="1:43" x14ac:dyDescent="0.35">
      <c r="A47" s="2">
        <v>258</v>
      </c>
      <c r="B47" s="15" t="s">
        <v>75</v>
      </c>
      <c r="C47" s="2">
        <v>0</v>
      </c>
      <c r="D47" s="3">
        <v>46249</v>
      </c>
      <c r="E47" s="3">
        <v>46266</v>
      </c>
      <c r="F47" s="2">
        <v>0</v>
      </c>
      <c r="G47" s="2">
        <v>0</v>
      </c>
      <c r="H47" s="2">
        <v>0</v>
      </c>
      <c r="I47" s="3"/>
      <c r="J47" s="3">
        <f>Т_График[[#This Row],[Разраб]]+Т_График[[#This Row],[К]]</f>
        <v>46266</v>
      </c>
      <c r="K47" s="3">
        <f>Т_График[[#This Row],[Разраб]]+Т_График[[#This Row],[К]]+Т_График[[#This Row],[О]]</f>
        <v>46266</v>
      </c>
      <c r="L47" s="3">
        <f>Т_График[[#This Row],[Разраб]]+Т_График[[#This Row],[К]]+Т_График[[#This Row],[О]]+Т_График[[#This Row],[С]]</f>
        <v>46266</v>
      </c>
      <c r="M47" s="5">
        <f>Т_График[[#This Row],[Разраб]]-Т_График[[#This Row],[Рассм]]</f>
        <v>17</v>
      </c>
      <c r="N47" s="3"/>
      <c r="AF47" s="10" t="s">
        <v>12</v>
      </c>
      <c r="AG47" s="10" t="s">
        <v>12</v>
      </c>
      <c r="AH47" s="10" t="s">
        <v>12</v>
      </c>
    </row>
    <row r="48" spans="1:43" x14ac:dyDescent="0.35">
      <c r="A48" s="2">
        <v>260</v>
      </c>
      <c r="B48" s="15" t="s">
        <v>76</v>
      </c>
      <c r="C48" s="2">
        <v>0</v>
      </c>
      <c r="D48" s="3">
        <v>46266</v>
      </c>
      <c r="E48" s="3">
        <v>46325</v>
      </c>
      <c r="F48" s="2">
        <v>0</v>
      </c>
      <c r="G48" s="2">
        <v>0</v>
      </c>
      <c r="H48" s="2">
        <v>0</v>
      </c>
      <c r="I48" s="3"/>
      <c r="J48" s="3">
        <f>Т_График[[#This Row],[Разраб]]+Т_График[[#This Row],[К]]</f>
        <v>46325</v>
      </c>
      <c r="K48" s="3">
        <f>Т_График[[#This Row],[Разраб]]+Т_График[[#This Row],[К]]+Т_График[[#This Row],[О]]</f>
        <v>46325</v>
      </c>
      <c r="L48" s="3">
        <f>Т_График[[#This Row],[Разраб]]+Т_График[[#This Row],[К]]+Т_График[[#This Row],[О]]+Т_График[[#This Row],[С]]</f>
        <v>46325</v>
      </c>
      <c r="M48" s="5">
        <f>Т_График[[#This Row],[Разраб]]-Т_График[[#This Row],[Рассм]]</f>
        <v>59</v>
      </c>
      <c r="N48" s="3"/>
      <c r="AH48" s="10" t="s">
        <v>12</v>
      </c>
      <c r="AI48" s="10" t="s">
        <v>12</v>
      </c>
      <c r="AJ48" s="10" t="s">
        <v>12</v>
      </c>
      <c r="AK48" s="10" t="s">
        <v>12</v>
      </c>
      <c r="AL48" s="10" t="s">
        <v>12</v>
      </c>
      <c r="AM48" s="10" t="s">
        <v>12</v>
      </c>
      <c r="AN48" s="10" t="s">
        <v>12</v>
      </c>
      <c r="AO48" s="10" t="s">
        <v>12</v>
      </c>
      <c r="AP48" s="10" t="s">
        <v>12</v>
      </c>
      <c r="AQ48" s="10" t="s">
        <v>12</v>
      </c>
    </row>
    <row r="49" spans="1:51" ht="29" x14ac:dyDescent="0.35">
      <c r="A49" s="2">
        <v>262</v>
      </c>
      <c r="B49" s="15" t="s">
        <v>77</v>
      </c>
      <c r="C49" s="2">
        <v>0</v>
      </c>
      <c r="D49" s="3">
        <v>46280</v>
      </c>
      <c r="E49" s="3">
        <v>46325</v>
      </c>
      <c r="F49" s="2">
        <v>0</v>
      </c>
      <c r="G49" s="2">
        <v>0</v>
      </c>
      <c r="H49" s="2">
        <v>0</v>
      </c>
      <c r="I49" s="3"/>
      <c r="J49" s="3">
        <f>Т_График[[#This Row],[Разраб]]+Т_График[[#This Row],[К]]</f>
        <v>46325</v>
      </c>
      <c r="K49" s="3">
        <f>Т_График[[#This Row],[Разраб]]+Т_График[[#This Row],[К]]+Т_График[[#This Row],[О]]</f>
        <v>46325</v>
      </c>
      <c r="L49" s="3">
        <f>Т_График[[#This Row],[Разраб]]+Т_График[[#This Row],[К]]+Т_График[[#This Row],[О]]+Т_График[[#This Row],[С]]</f>
        <v>46325</v>
      </c>
      <c r="M49" s="5">
        <f>Т_График[[#This Row],[Разраб]]-Т_График[[#This Row],[Рассм]]</f>
        <v>45</v>
      </c>
      <c r="N49" s="3"/>
      <c r="AJ49" s="10" t="s">
        <v>12</v>
      </c>
      <c r="AK49" s="10" t="s">
        <v>12</v>
      </c>
      <c r="AL49" s="10" t="s">
        <v>12</v>
      </c>
      <c r="AM49" s="10" t="s">
        <v>12</v>
      </c>
      <c r="AN49" s="10" t="s">
        <v>12</v>
      </c>
      <c r="AO49" s="10" t="s">
        <v>12</v>
      </c>
      <c r="AP49" s="10" t="s">
        <v>12</v>
      </c>
      <c r="AQ49" s="10" t="s">
        <v>12</v>
      </c>
    </row>
    <row r="50" spans="1:51" x14ac:dyDescent="0.35">
      <c r="A50" s="2">
        <v>266</v>
      </c>
      <c r="B50" s="15" t="s">
        <v>78</v>
      </c>
      <c r="C50" s="2">
        <v>0</v>
      </c>
      <c r="D50" s="3">
        <v>46310</v>
      </c>
      <c r="E50" s="3">
        <v>46381</v>
      </c>
      <c r="F50" s="2">
        <v>0</v>
      </c>
      <c r="G50" s="2">
        <v>0</v>
      </c>
      <c r="H50" s="2">
        <v>0</v>
      </c>
      <c r="I50" s="3"/>
      <c r="J50" s="3">
        <f>Т_График[[#This Row],[Разраб]]+Т_График[[#This Row],[К]]</f>
        <v>46381</v>
      </c>
      <c r="K50" s="3">
        <f>Т_График[[#This Row],[Разраб]]+Т_График[[#This Row],[К]]+Т_График[[#This Row],[О]]</f>
        <v>46381</v>
      </c>
      <c r="L50" s="3">
        <f>Т_График[[#This Row],[Разраб]]+Т_График[[#This Row],[К]]+Т_График[[#This Row],[О]]+Т_График[[#This Row],[С]]</f>
        <v>46381</v>
      </c>
      <c r="M50" s="5">
        <f>Т_График[[#This Row],[Разраб]]-Т_График[[#This Row],[Рассм]]</f>
        <v>71</v>
      </c>
      <c r="N50" s="3"/>
      <c r="AO50" s="10" t="s">
        <v>12</v>
      </c>
      <c r="AP50" s="10" t="s">
        <v>12</v>
      </c>
      <c r="AQ50" s="10" t="s">
        <v>12</v>
      </c>
      <c r="AR50" s="10" t="s">
        <v>12</v>
      </c>
      <c r="AS50" s="10" t="s">
        <v>12</v>
      </c>
      <c r="AT50" s="10" t="s">
        <v>12</v>
      </c>
      <c r="AU50" s="10" t="s">
        <v>12</v>
      </c>
      <c r="AV50" s="10" t="s">
        <v>12</v>
      </c>
      <c r="AW50" s="10" t="s">
        <v>12</v>
      </c>
      <c r="AX50" s="10" t="s">
        <v>12</v>
      </c>
      <c r="AY50" s="10" t="s">
        <v>12</v>
      </c>
    </row>
    <row r="51" spans="1:51" x14ac:dyDescent="0.35">
      <c r="A51" s="2">
        <v>268</v>
      </c>
      <c r="B51" s="15" t="s">
        <v>79</v>
      </c>
      <c r="C51" s="2">
        <v>0</v>
      </c>
      <c r="D51" s="3">
        <v>46310</v>
      </c>
      <c r="E51" s="3">
        <v>46381</v>
      </c>
      <c r="F51" s="2">
        <v>0</v>
      </c>
      <c r="G51" s="2">
        <v>0</v>
      </c>
      <c r="H51" s="2">
        <v>0</v>
      </c>
      <c r="I51" s="3"/>
      <c r="J51" s="3">
        <f>Т_График[[#This Row],[Разраб]]+Т_График[[#This Row],[К]]</f>
        <v>46381</v>
      </c>
      <c r="K51" s="3">
        <f>Т_График[[#This Row],[Разраб]]+Т_График[[#This Row],[К]]+Т_График[[#This Row],[О]]</f>
        <v>46381</v>
      </c>
      <c r="L51" s="3">
        <f>Т_График[[#This Row],[Разраб]]+Т_График[[#This Row],[К]]+Т_График[[#This Row],[О]]+Т_График[[#This Row],[С]]</f>
        <v>46381</v>
      </c>
      <c r="M51" s="5">
        <f>Т_График[[#This Row],[Разраб]]-Т_График[[#This Row],[Рассм]]</f>
        <v>71</v>
      </c>
      <c r="N51" s="3"/>
      <c r="AO51" s="10" t="s">
        <v>12</v>
      </c>
      <c r="AP51" s="10" t="s">
        <v>12</v>
      </c>
      <c r="AQ51" s="10" t="s">
        <v>12</v>
      </c>
      <c r="AR51" s="10" t="s">
        <v>12</v>
      </c>
      <c r="AS51" s="10" t="s">
        <v>12</v>
      </c>
      <c r="AT51" s="10" t="s">
        <v>12</v>
      </c>
      <c r="AU51" s="10" t="s">
        <v>12</v>
      </c>
      <c r="AV51" s="10" t="s">
        <v>12</v>
      </c>
      <c r="AW51" s="10" t="s">
        <v>12</v>
      </c>
      <c r="AX51" s="10" t="s">
        <v>12</v>
      </c>
      <c r="AY51" s="10" t="s">
        <v>12</v>
      </c>
    </row>
    <row r="52" spans="1:51" x14ac:dyDescent="0.35">
      <c r="A52" s="2">
        <v>270</v>
      </c>
      <c r="B52" s="15" t="s">
        <v>80</v>
      </c>
      <c r="C52" s="2">
        <v>0</v>
      </c>
      <c r="D52" s="3">
        <v>46310</v>
      </c>
      <c r="E52" s="3">
        <v>46381</v>
      </c>
      <c r="F52" s="2">
        <v>0</v>
      </c>
      <c r="G52" s="2">
        <v>0</v>
      </c>
      <c r="H52" s="2">
        <v>0</v>
      </c>
      <c r="I52" s="3"/>
      <c r="J52" s="3">
        <f>Т_График[[#This Row],[Разраб]]+Т_График[[#This Row],[К]]</f>
        <v>46381</v>
      </c>
      <c r="K52" s="3">
        <f>Т_График[[#This Row],[Разраб]]+Т_График[[#This Row],[К]]+Т_График[[#This Row],[О]]</f>
        <v>46381</v>
      </c>
      <c r="L52" s="3">
        <f>Т_График[[#This Row],[Разраб]]+Т_График[[#This Row],[К]]+Т_График[[#This Row],[О]]+Т_График[[#This Row],[С]]</f>
        <v>46381</v>
      </c>
      <c r="M52" s="5">
        <f>Т_График[[#This Row],[Разраб]]-Т_График[[#This Row],[Рассм]]</f>
        <v>71</v>
      </c>
      <c r="N52" s="3"/>
      <c r="AO52" s="10" t="s">
        <v>12</v>
      </c>
      <c r="AP52" s="10" t="s">
        <v>12</v>
      </c>
      <c r="AQ52" s="10" t="s">
        <v>12</v>
      </c>
      <c r="AR52" s="10" t="s">
        <v>12</v>
      </c>
      <c r="AS52" s="10" t="s">
        <v>12</v>
      </c>
      <c r="AT52" s="10" t="s">
        <v>12</v>
      </c>
      <c r="AU52" s="10" t="s">
        <v>12</v>
      </c>
      <c r="AV52" s="10" t="s">
        <v>12</v>
      </c>
      <c r="AW52" s="10" t="s">
        <v>12</v>
      </c>
      <c r="AX52" s="10" t="s">
        <v>12</v>
      </c>
      <c r="AY52" s="10" t="s">
        <v>12</v>
      </c>
    </row>
    <row r="53" spans="1:51" ht="29" x14ac:dyDescent="0.35">
      <c r="A53" s="2">
        <v>272</v>
      </c>
      <c r="B53" s="15" t="s">
        <v>81</v>
      </c>
      <c r="C53" s="2">
        <v>0</v>
      </c>
      <c r="D53" s="3">
        <v>46310</v>
      </c>
      <c r="E53" s="3">
        <v>46381</v>
      </c>
      <c r="F53" s="2">
        <v>0</v>
      </c>
      <c r="G53" s="2">
        <v>0</v>
      </c>
      <c r="H53" s="2">
        <v>0</v>
      </c>
      <c r="I53" s="3"/>
      <c r="J53" s="3">
        <f>Т_График[[#This Row],[Разраб]]+Т_График[[#This Row],[К]]</f>
        <v>46381</v>
      </c>
      <c r="K53" s="3">
        <f>Т_График[[#This Row],[Разраб]]+Т_График[[#This Row],[К]]+Т_График[[#This Row],[О]]</f>
        <v>46381</v>
      </c>
      <c r="L53" s="3">
        <f>Т_График[[#This Row],[Разраб]]+Т_График[[#This Row],[К]]+Т_График[[#This Row],[О]]+Т_График[[#This Row],[С]]</f>
        <v>46381</v>
      </c>
      <c r="M53" s="5">
        <f>Т_График[[#This Row],[Разраб]]-Т_График[[#This Row],[Рассм]]</f>
        <v>71</v>
      </c>
      <c r="N53" s="3"/>
      <c r="AO53" s="10" t="s">
        <v>12</v>
      </c>
      <c r="AP53" s="10" t="s">
        <v>12</v>
      </c>
      <c r="AQ53" s="10" t="s">
        <v>12</v>
      </c>
      <c r="AR53" s="10" t="s">
        <v>12</v>
      </c>
      <c r="AS53" s="10" t="s">
        <v>12</v>
      </c>
      <c r="AT53" s="10" t="s">
        <v>12</v>
      </c>
      <c r="AU53" s="10" t="s">
        <v>12</v>
      </c>
      <c r="AV53" s="10" t="s">
        <v>12</v>
      </c>
      <c r="AW53" s="10" t="s">
        <v>12</v>
      </c>
      <c r="AX53" s="10" t="s">
        <v>12</v>
      </c>
      <c r="AY53" s="10" t="s">
        <v>12</v>
      </c>
    </row>
    <row r="54" spans="1:51" ht="29" x14ac:dyDescent="0.35">
      <c r="A54" s="2">
        <v>274</v>
      </c>
      <c r="B54" s="15" t="s">
        <v>82</v>
      </c>
      <c r="C54" s="2">
        <v>0</v>
      </c>
      <c r="D54" s="3">
        <v>46310</v>
      </c>
      <c r="E54" s="3">
        <v>46381</v>
      </c>
      <c r="F54" s="2">
        <v>0</v>
      </c>
      <c r="G54" s="2">
        <v>0</v>
      </c>
      <c r="H54" s="2">
        <v>0</v>
      </c>
      <c r="I54" s="3"/>
      <c r="J54" s="3">
        <f>Т_График[[#This Row],[Разраб]]+Т_График[[#This Row],[К]]</f>
        <v>46381</v>
      </c>
      <c r="K54" s="3">
        <f>Т_График[[#This Row],[Разраб]]+Т_График[[#This Row],[К]]+Т_График[[#This Row],[О]]</f>
        <v>46381</v>
      </c>
      <c r="L54" s="3">
        <f>Т_График[[#This Row],[Разраб]]+Т_График[[#This Row],[К]]+Т_График[[#This Row],[О]]+Т_График[[#This Row],[С]]</f>
        <v>46381</v>
      </c>
      <c r="M54" s="5">
        <f>Т_График[[#This Row],[Разраб]]-Т_График[[#This Row],[Рассм]]</f>
        <v>71</v>
      </c>
      <c r="N54" s="3"/>
      <c r="AO54" s="10" t="s">
        <v>12</v>
      </c>
      <c r="AP54" s="10" t="s">
        <v>12</v>
      </c>
      <c r="AQ54" s="10" t="s">
        <v>12</v>
      </c>
      <c r="AR54" s="10" t="s">
        <v>12</v>
      </c>
      <c r="AS54" s="10" t="s">
        <v>12</v>
      </c>
      <c r="AT54" s="10" t="s">
        <v>12</v>
      </c>
      <c r="AU54" s="10" t="s">
        <v>12</v>
      </c>
      <c r="AV54" s="10" t="s">
        <v>12</v>
      </c>
      <c r="AW54" s="10" t="s">
        <v>12</v>
      </c>
      <c r="AX54" s="10" t="s">
        <v>12</v>
      </c>
      <c r="AY54" s="10" t="s">
        <v>12</v>
      </c>
    </row>
    <row r="55" spans="1:51" ht="29" x14ac:dyDescent="0.35">
      <c r="A55" s="2">
        <v>276</v>
      </c>
      <c r="B55" s="15" t="s">
        <v>83</v>
      </c>
      <c r="C55" s="2">
        <v>0</v>
      </c>
      <c r="D55" s="3">
        <v>46310</v>
      </c>
      <c r="E55" s="3">
        <v>46381</v>
      </c>
      <c r="F55" s="2">
        <v>0</v>
      </c>
      <c r="G55" s="2">
        <v>0</v>
      </c>
      <c r="H55" s="2">
        <v>0</v>
      </c>
      <c r="I55" s="3"/>
      <c r="J55" s="3">
        <f>Т_График[[#This Row],[Разраб]]+Т_График[[#This Row],[К]]</f>
        <v>46381</v>
      </c>
      <c r="K55" s="3">
        <f>Т_График[[#This Row],[Разраб]]+Т_График[[#This Row],[К]]+Т_График[[#This Row],[О]]</f>
        <v>46381</v>
      </c>
      <c r="L55" s="3">
        <f>Т_График[[#This Row],[Разраб]]+Т_График[[#This Row],[К]]+Т_График[[#This Row],[О]]+Т_График[[#This Row],[С]]</f>
        <v>46381</v>
      </c>
      <c r="M55" s="5">
        <f>Т_График[[#This Row],[Разраб]]-Т_График[[#This Row],[Рассм]]</f>
        <v>71</v>
      </c>
      <c r="N55" s="3"/>
      <c r="AO55" s="10" t="s">
        <v>12</v>
      </c>
      <c r="AP55" s="10" t="s">
        <v>12</v>
      </c>
      <c r="AQ55" s="10" t="s">
        <v>12</v>
      </c>
      <c r="AR55" s="10" t="s">
        <v>12</v>
      </c>
      <c r="AS55" s="10" t="s">
        <v>12</v>
      </c>
      <c r="AT55" s="10" t="s">
        <v>12</v>
      </c>
      <c r="AU55" s="10" t="s">
        <v>12</v>
      </c>
      <c r="AV55" s="10" t="s">
        <v>12</v>
      </c>
      <c r="AW55" s="10" t="s">
        <v>12</v>
      </c>
      <c r="AX55" s="10" t="s">
        <v>12</v>
      </c>
      <c r="AY55" s="10" t="s">
        <v>12</v>
      </c>
    </row>
    <row r="56" spans="1:51" ht="29" x14ac:dyDescent="0.35">
      <c r="A56" s="2">
        <v>278</v>
      </c>
      <c r="B56" s="15" t="s">
        <v>84</v>
      </c>
      <c r="C56" s="2">
        <v>0</v>
      </c>
      <c r="D56" s="3">
        <v>46310</v>
      </c>
      <c r="E56" s="3">
        <v>46381</v>
      </c>
      <c r="F56" s="2">
        <v>0</v>
      </c>
      <c r="G56" s="2">
        <v>0</v>
      </c>
      <c r="H56" s="2">
        <v>0</v>
      </c>
      <c r="I56" s="3"/>
      <c r="J56" s="3">
        <f>Т_График[[#This Row],[Разраб]]+Т_График[[#This Row],[К]]</f>
        <v>46381</v>
      </c>
      <c r="K56" s="3">
        <f>Т_График[[#This Row],[Разраб]]+Т_График[[#This Row],[К]]+Т_График[[#This Row],[О]]</f>
        <v>46381</v>
      </c>
      <c r="L56" s="3">
        <f>Т_График[[#This Row],[Разраб]]+Т_График[[#This Row],[К]]+Т_График[[#This Row],[О]]+Т_График[[#This Row],[С]]</f>
        <v>46381</v>
      </c>
      <c r="M56" s="5">
        <f>Т_График[[#This Row],[Разраб]]-Т_График[[#This Row],[Рассм]]</f>
        <v>71</v>
      </c>
      <c r="N56" s="3"/>
      <c r="AO56" s="10" t="s">
        <v>12</v>
      </c>
      <c r="AP56" s="10" t="s">
        <v>12</v>
      </c>
      <c r="AQ56" s="10" t="s">
        <v>12</v>
      </c>
      <c r="AR56" s="10" t="s">
        <v>12</v>
      </c>
      <c r="AS56" s="10" t="s">
        <v>12</v>
      </c>
      <c r="AT56" s="10" t="s">
        <v>12</v>
      </c>
      <c r="AU56" s="10" t="s">
        <v>12</v>
      </c>
      <c r="AV56" s="10" t="s">
        <v>12</v>
      </c>
      <c r="AW56" s="10" t="s">
        <v>12</v>
      </c>
      <c r="AX56" s="10" t="s">
        <v>12</v>
      </c>
      <c r="AY56" s="10" t="s">
        <v>12</v>
      </c>
    </row>
    <row r="57" spans="1:51" ht="29" x14ac:dyDescent="0.35">
      <c r="A57" s="2">
        <v>280</v>
      </c>
      <c r="B57" s="15" t="s">
        <v>85</v>
      </c>
      <c r="C57" s="2">
        <v>0</v>
      </c>
      <c r="D57" s="3">
        <v>46310</v>
      </c>
      <c r="E57" s="3">
        <v>46381</v>
      </c>
      <c r="F57" s="2">
        <v>0</v>
      </c>
      <c r="G57" s="2">
        <v>0</v>
      </c>
      <c r="H57" s="2">
        <v>0</v>
      </c>
      <c r="I57" s="3"/>
      <c r="J57" s="3">
        <f>Т_График[[#This Row],[Разраб]]+Т_График[[#This Row],[К]]</f>
        <v>46381</v>
      </c>
      <c r="K57" s="3">
        <f>Т_График[[#This Row],[Разраб]]+Т_График[[#This Row],[К]]+Т_График[[#This Row],[О]]</f>
        <v>46381</v>
      </c>
      <c r="L57" s="3">
        <f>Т_График[[#This Row],[Разраб]]+Т_График[[#This Row],[К]]+Т_График[[#This Row],[О]]+Т_График[[#This Row],[С]]</f>
        <v>46381</v>
      </c>
      <c r="M57" s="5">
        <f>Т_График[[#This Row],[Разраб]]-Т_График[[#This Row],[Рассм]]</f>
        <v>71</v>
      </c>
      <c r="N57" s="3"/>
      <c r="AO57" s="10" t="s">
        <v>12</v>
      </c>
      <c r="AP57" s="10" t="s">
        <v>12</v>
      </c>
      <c r="AQ57" s="10" t="s">
        <v>12</v>
      </c>
      <c r="AR57" s="10" t="s">
        <v>12</v>
      </c>
      <c r="AS57" s="10" t="s">
        <v>12</v>
      </c>
      <c r="AT57" s="10" t="s">
        <v>12</v>
      </c>
      <c r="AU57" s="10" t="s">
        <v>12</v>
      </c>
      <c r="AV57" s="10" t="s">
        <v>12</v>
      </c>
      <c r="AW57" s="10" t="s">
        <v>12</v>
      </c>
      <c r="AX57" s="10" t="s">
        <v>12</v>
      </c>
      <c r="AY57" s="10" t="s">
        <v>12</v>
      </c>
    </row>
    <row r="58" spans="1:51" ht="29" x14ac:dyDescent="0.35">
      <c r="A58" s="2">
        <v>282</v>
      </c>
      <c r="B58" s="15" t="s">
        <v>86</v>
      </c>
      <c r="C58" s="2">
        <v>0</v>
      </c>
      <c r="D58" s="3">
        <v>46310</v>
      </c>
      <c r="E58" s="3">
        <v>46381</v>
      </c>
      <c r="F58" s="2">
        <v>0</v>
      </c>
      <c r="G58" s="2">
        <v>0</v>
      </c>
      <c r="H58" s="2">
        <v>0</v>
      </c>
      <c r="I58" s="3"/>
      <c r="J58" s="3">
        <f>Т_График[[#This Row],[Разраб]]+Т_График[[#This Row],[К]]</f>
        <v>46381</v>
      </c>
      <c r="K58" s="3">
        <f>Т_График[[#This Row],[Разраб]]+Т_График[[#This Row],[К]]+Т_График[[#This Row],[О]]</f>
        <v>46381</v>
      </c>
      <c r="L58" s="3">
        <f>Т_График[[#This Row],[Разраб]]+Т_График[[#This Row],[К]]+Т_График[[#This Row],[О]]+Т_График[[#This Row],[С]]</f>
        <v>46381</v>
      </c>
      <c r="M58" s="5">
        <f>Т_График[[#This Row],[Разраб]]-Т_График[[#This Row],[Рассм]]</f>
        <v>71</v>
      </c>
      <c r="N58" s="3"/>
      <c r="AO58" s="10" t="s">
        <v>12</v>
      </c>
      <c r="AP58" s="10" t="s">
        <v>12</v>
      </c>
      <c r="AQ58" s="10" t="s">
        <v>12</v>
      </c>
      <c r="AR58" s="10" t="s">
        <v>12</v>
      </c>
      <c r="AS58" s="10" t="s">
        <v>12</v>
      </c>
      <c r="AT58" s="10" t="s">
        <v>12</v>
      </c>
      <c r="AU58" s="10" t="s">
        <v>12</v>
      </c>
      <c r="AV58" s="10" t="s">
        <v>12</v>
      </c>
      <c r="AW58" s="10" t="s">
        <v>12</v>
      </c>
      <c r="AX58" s="10" t="s">
        <v>12</v>
      </c>
      <c r="AY58" s="10" t="s">
        <v>12</v>
      </c>
    </row>
    <row r="59" spans="1:51" ht="29" x14ac:dyDescent="0.35">
      <c r="A59" s="2">
        <v>284</v>
      </c>
      <c r="B59" s="15" t="s">
        <v>87</v>
      </c>
      <c r="C59" s="2">
        <v>0</v>
      </c>
      <c r="D59" s="3">
        <v>46310</v>
      </c>
      <c r="E59" s="3">
        <v>46381</v>
      </c>
      <c r="F59" s="2">
        <v>0</v>
      </c>
      <c r="G59" s="2">
        <v>0</v>
      </c>
      <c r="H59" s="2">
        <v>0</v>
      </c>
      <c r="I59" s="3"/>
      <c r="J59" s="3">
        <f>Т_График[[#This Row],[Разраб]]+Т_График[[#This Row],[К]]</f>
        <v>46381</v>
      </c>
      <c r="K59" s="3">
        <f>Т_График[[#This Row],[Разраб]]+Т_График[[#This Row],[К]]+Т_График[[#This Row],[О]]</f>
        <v>46381</v>
      </c>
      <c r="L59" s="3">
        <f>Т_График[[#This Row],[Разраб]]+Т_График[[#This Row],[К]]+Т_График[[#This Row],[О]]+Т_График[[#This Row],[С]]</f>
        <v>46381</v>
      </c>
      <c r="M59" s="5">
        <f>Т_График[[#This Row],[Разраб]]-Т_График[[#This Row],[Рассм]]</f>
        <v>71</v>
      </c>
      <c r="N59" s="3"/>
      <c r="AO59" s="10" t="s">
        <v>12</v>
      </c>
      <c r="AP59" s="10" t="s">
        <v>12</v>
      </c>
      <c r="AQ59" s="10" t="s">
        <v>12</v>
      </c>
      <c r="AR59" s="10" t="s">
        <v>12</v>
      </c>
      <c r="AS59" s="10" t="s">
        <v>12</v>
      </c>
      <c r="AT59" s="10" t="s">
        <v>12</v>
      </c>
      <c r="AU59" s="10" t="s">
        <v>12</v>
      </c>
      <c r="AV59" s="10" t="s">
        <v>12</v>
      </c>
      <c r="AW59" s="10" t="s">
        <v>12</v>
      </c>
      <c r="AX59" s="10" t="s">
        <v>12</v>
      </c>
      <c r="AY59" s="10" t="s">
        <v>12</v>
      </c>
    </row>
    <row r="60" spans="1:51" ht="29" x14ac:dyDescent="0.35">
      <c r="A60" s="2">
        <v>286</v>
      </c>
      <c r="B60" s="15" t="s">
        <v>88</v>
      </c>
      <c r="C60" s="2">
        <v>0</v>
      </c>
      <c r="D60" s="3">
        <v>46310</v>
      </c>
      <c r="E60" s="3">
        <v>46381</v>
      </c>
      <c r="F60" s="2">
        <v>0</v>
      </c>
      <c r="G60" s="2">
        <v>0</v>
      </c>
      <c r="H60" s="2">
        <v>0</v>
      </c>
      <c r="I60" s="3"/>
      <c r="J60" s="3">
        <f>Т_График[[#This Row],[Разраб]]+Т_График[[#This Row],[К]]</f>
        <v>46381</v>
      </c>
      <c r="K60" s="3">
        <f>Т_График[[#This Row],[Разраб]]+Т_График[[#This Row],[К]]+Т_График[[#This Row],[О]]</f>
        <v>46381</v>
      </c>
      <c r="L60" s="3">
        <f>Т_График[[#This Row],[Разраб]]+Т_График[[#This Row],[К]]+Т_График[[#This Row],[О]]+Т_График[[#This Row],[С]]</f>
        <v>46381</v>
      </c>
      <c r="M60" s="5">
        <f>Т_График[[#This Row],[Разраб]]-Т_График[[#This Row],[Рассм]]</f>
        <v>71</v>
      </c>
      <c r="N60" s="3"/>
      <c r="AO60" s="10" t="s">
        <v>12</v>
      </c>
      <c r="AP60" s="10" t="s">
        <v>12</v>
      </c>
      <c r="AQ60" s="10" t="s">
        <v>12</v>
      </c>
      <c r="AR60" s="10" t="s">
        <v>12</v>
      </c>
      <c r="AS60" s="10" t="s">
        <v>12</v>
      </c>
      <c r="AT60" s="10" t="s">
        <v>12</v>
      </c>
      <c r="AU60" s="10" t="s">
        <v>12</v>
      </c>
      <c r="AV60" s="10" t="s">
        <v>12</v>
      </c>
      <c r="AW60" s="10" t="s">
        <v>12</v>
      </c>
      <c r="AX60" s="10" t="s">
        <v>12</v>
      </c>
      <c r="AY60" s="10" t="s">
        <v>12</v>
      </c>
    </row>
    <row r="61" spans="1:51" ht="29" x14ac:dyDescent="0.35">
      <c r="A61" s="2">
        <v>288</v>
      </c>
      <c r="B61" s="15" t="s">
        <v>89</v>
      </c>
      <c r="C61" s="2">
        <v>0</v>
      </c>
      <c r="D61" s="3">
        <v>46310</v>
      </c>
      <c r="E61" s="3">
        <v>46381</v>
      </c>
      <c r="F61" s="2">
        <v>0</v>
      </c>
      <c r="G61" s="2">
        <v>0</v>
      </c>
      <c r="H61" s="2">
        <v>0</v>
      </c>
      <c r="I61" s="3"/>
      <c r="J61" s="3">
        <f>Т_График[[#This Row],[Разраб]]+Т_График[[#This Row],[К]]</f>
        <v>46381</v>
      </c>
      <c r="K61" s="3">
        <f>Т_График[[#This Row],[Разраб]]+Т_График[[#This Row],[К]]+Т_График[[#This Row],[О]]</f>
        <v>46381</v>
      </c>
      <c r="L61" s="3">
        <f>Т_График[[#This Row],[Разраб]]+Т_График[[#This Row],[К]]+Т_График[[#This Row],[О]]+Т_График[[#This Row],[С]]</f>
        <v>46381</v>
      </c>
      <c r="M61" s="5">
        <f>Т_График[[#This Row],[Разраб]]-Т_График[[#This Row],[Рассм]]</f>
        <v>71</v>
      </c>
      <c r="N61" s="3"/>
      <c r="AO61" s="10" t="s">
        <v>12</v>
      </c>
      <c r="AP61" s="10" t="s">
        <v>12</v>
      </c>
      <c r="AQ61" s="10" t="s">
        <v>12</v>
      </c>
      <c r="AR61" s="10" t="s">
        <v>12</v>
      </c>
      <c r="AS61" s="10" t="s">
        <v>12</v>
      </c>
      <c r="AT61" s="10" t="s">
        <v>12</v>
      </c>
      <c r="AU61" s="10" t="s">
        <v>12</v>
      </c>
      <c r="AV61" s="10" t="s">
        <v>12</v>
      </c>
      <c r="AW61" s="10" t="s">
        <v>12</v>
      </c>
      <c r="AX61" s="10" t="s">
        <v>12</v>
      </c>
      <c r="AY61" s="10" t="s">
        <v>12</v>
      </c>
    </row>
    <row r="62" spans="1:51" x14ac:dyDescent="0.35">
      <c r="A62" s="2">
        <v>290</v>
      </c>
      <c r="B62" s="15" t="s">
        <v>90</v>
      </c>
      <c r="C62" s="2">
        <v>0</v>
      </c>
      <c r="D62" s="3">
        <v>46310</v>
      </c>
      <c r="E62" s="3">
        <v>46381</v>
      </c>
      <c r="F62" s="2">
        <v>0</v>
      </c>
      <c r="G62" s="2">
        <v>0</v>
      </c>
      <c r="H62" s="2">
        <v>0</v>
      </c>
      <c r="I62" s="3"/>
      <c r="J62" s="3">
        <f>Т_График[[#This Row],[Разраб]]+Т_График[[#This Row],[К]]</f>
        <v>46381</v>
      </c>
      <c r="K62" s="3">
        <f>Т_График[[#This Row],[Разраб]]+Т_График[[#This Row],[К]]+Т_График[[#This Row],[О]]</f>
        <v>46381</v>
      </c>
      <c r="L62" s="3">
        <f>Т_График[[#This Row],[Разраб]]+Т_График[[#This Row],[К]]+Т_График[[#This Row],[О]]+Т_График[[#This Row],[С]]</f>
        <v>46381</v>
      </c>
      <c r="M62" s="5">
        <f>Т_График[[#This Row],[Разраб]]-Т_График[[#This Row],[Рассм]]</f>
        <v>71</v>
      </c>
      <c r="N62" s="3"/>
      <c r="AO62" s="10" t="s">
        <v>12</v>
      </c>
      <c r="AP62" s="10" t="s">
        <v>12</v>
      </c>
      <c r="AQ62" s="10" t="s">
        <v>12</v>
      </c>
      <c r="AR62" s="10" t="s">
        <v>12</v>
      </c>
      <c r="AS62" s="10" t="s">
        <v>12</v>
      </c>
      <c r="AT62" s="10" t="s">
        <v>12</v>
      </c>
      <c r="AU62" s="10" t="s">
        <v>12</v>
      </c>
      <c r="AV62" s="10" t="s">
        <v>12</v>
      </c>
      <c r="AW62" s="10" t="s">
        <v>12</v>
      </c>
      <c r="AX62" s="10" t="s">
        <v>12</v>
      </c>
      <c r="AY62" s="10" t="s">
        <v>12</v>
      </c>
    </row>
    <row r="63" spans="1:51" x14ac:dyDescent="0.35">
      <c r="A63" s="2">
        <v>292</v>
      </c>
      <c r="B63" s="15" t="s">
        <v>91</v>
      </c>
      <c r="C63" s="2">
        <v>0</v>
      </c>
      <c r="D63" s="3">
        <v>46310</v>
      </c>
      <c r="E63" s="3">
        <v>46381</v>
      </c>
      <c r="F63" s="2">
        <v>0</v>
      </c>
      <c r="G63" s="2">
        <v>0</v>
      </c>
      <c r="H63" s="2">
        <v>0</v>
      </c>
      <c r="I63" s="3"/>
      <c r="J63" s="3">
        <f>Т_График[[#This Row],[Разраб]]+Т_График[[#This Row],[К]]</f>
        <v>46381</v>
      </c>
      <c r="K63" s="3">
        <f>Т_График[[#This Row],[Разраб]]+Т_График[[#This Row],[К]]+Т_График[[#This Row],[О]]</f>
        <v>46381</v>
      </c>
      <c r="L63" s="3">
        <f>Т_График[[#This Row],[Разраб]]+Т_График[[#This Row],[К]]+Т_График[[#This Row],[О]]+Т_График[[#This Row],[С]]</f>
        <v>46381</v>
      </c>
      <c r="M63" s="5">
        <f>Т_График[[#This Row],[Разраб]]-Т_График[[#This Row],[Рассм]]</f>
        <v>71</v>
      </c>
      <c r="N63" s="3"/>
      <c r="AO63" s="10" t="s">
        <v>12</v>
      </c>
      <c r="AP63" s="10" t="s">
        <v>12</v>
      </c>
      <c r="AQ63" s="10" t="s">
        <v>12</v>
      </c>
      <c r="AR63" s="10" t="s">
        <v>12</v>
      </c>
      <c r="AS63" s="10" t="s">
        <v>12</v>
      </c>
      <c r="AT63" s="10" t="s">
        <v>12</v>
      </c>
      <c r="AU63" s="10" t="s">
        <v>12</v>
      </c>
      <c r="AV63" s="10" t="s">
        <v>12</v>
      </c>
      <c r="AW63" s="10" t="s">
        <v>12</v>
      </c>
      <c r="AX63" s="10" t="s">
        <v>12</v>
      </c>
      <c r="AY63" s="10" t="s">
        <v>12</v>
      </c>
    </row>
    <row r="64" spans="1:51" ht="29" x14ac:dyDescent="0.35">
      <c r="A64" s="2">
        <v>294</v>
      </c>
      <c r="B64" s="15" t="s">
        <v>92</v>
      </c>
      <c r="C64" s="2">
        <v>0</v>
      </c>
      <c r="D64" s="3">
        <v>46310</v>
      </c>
      <c r="E64" s="3">
        <v>46381</v>
      </c>
      <c r="F64" s="2">
        <v>0</v>
      </c>
      <c r="G64" s="2">
        <v>0</v>
      </c>
      <c r="H64" s="2">
        <v>0</v>
      </c>
      <c r="I64" s="3"/>
      <c r="J64" s="3">
        <f>Т_График[[#This Row],[Разраб]]+Т_График[[#This Row],[К]]</f>
        <v>46381</v>
      </c>
      <c r="K64" s="3">
        <f>Т_График[[#This Row],[Разраб]]+Т_График[[#This Row],[К]]+Т_График[[#This Row],[О]]</f>
        <v>46381</v>
      </c>
      <c r="L64" s="3">
        <f>Т_График[[#This Row],[Разраб]]+Т_График[[#This Row],[К]]+Т_График[[#This Row],[О]]+Т_График[[#This Row],[С]]</f>
        <v>46381</v>
      </c>
      <c r="M64" s="5">
        <f>Т_График[[#This Row],[Разраб]]-Т_График[[#This Row],[Рассм]]</f>
        <v>71</v>
      </c>
      <c r="N64" s="3"/>
      <c r="AO64" s="10" t="s">
        <v>12</v>
      </c>
      <c r="AP64" s="10" t="s">
        <v>12</v>
      </c>
      <c r="AQ64" s="10" t="s">
        <v>12</v>
      </c>
      <c r="AR64" s="10" t="s">
        <v>12</v>
      </c>
      <c r="AS64" s="10" t="s">
        <v>12</v>
      </c>
      <c r="AT64" s="10" t="s">
        <v>12</v>
      </c>
      <c r="AU64" s="10" t="s">
        <v>12</v>
      </c>
      <c r="AV64" s="10" t="s">
        <v>12</v>
      </c>
      <c r="AW64" s="10" t="s">
        <v>12</v>
      </c>
      <c r="AX64" s="10" t="s">
        <v>12</v>
      </c>
      <c r="AY64" s="10" t="s">
        <v>12</v>
      </c>
    </row>
    <row r="65" spans="1:56" x14ac:dyDescent="0.35">
      <c r="A65" s="2">
        <v>296</v>
      </c>
      <c r="B65" s="15" t="s">
        <v>93</v>
      </c>
      <c r="C65" s="2">
        <v>0</v>
      </c>
      <c r="D65" s="3">
        <v>46310</v>
      </c>
      <c r="E65" s="3">
        <v>46381</v>
      </c>
      <c r="F65" s="2">
        <v>0</v>
      </c>
      <c r="G65" s="2">
        <v>0</v>
      </c>
      <c r="H65" s="2">
        <v>0</v>
      </c>
      <c r="I65" s="3"/>
      <c r="J65" s="3">
        <f>Т_График[[#This Row],[Разраб]]+Т_График[[#This Row],[К]]</f>
        <v>46381</v>
      </c>
      <c r="K65" s="3">
        <f>Т_График[[#This Row],[Разраб]]+Т_График[[#This Row],[К]]+Т_График[[#This Row],[О]]</f>
        <v>46381</v>
      </c>
      <c r="L65" s="3">
        <f>Т_График[[#This Row],[Разраб]]+Т_График[[#This Row],[К]]+Т_График[[#This Row],[О]]+Т_График[[#This Row],[С]]</f>
        <v>46381</v>
      </c>
      <c r="M65" s="5">
        <f>Т_График[[#This Row],[Разраб]]-Т_График[[#This Row],[Рассм]]</f>
        <v>71</v>
      </c>
      <c r="N65" s="3"/>
      <c r="AO65" s="10" t="s">
        <v>12</v>
      </c>
      <c r="AP65" s="10" t="s">
        <v>12</v>
      </c>
      <c r="AQ65" s="10" t="s">
        <v>12</v>
      </c>
      <c r="AR65" s="10" t="s">
        <v>12</v>
      </c>
      <c r="AS65" s="10" t="s">
        <v>12</v>
      </c>
      <c r="AT65" s="10" t="s">
        <v>12</v>
      </c>
      <c r="AU65" s="10" t="s">
        <v>12</v>
      </c>
      <c r="AV65" s="10" t="s">
        <v>12</v>
      </c>
      <c r="AW65" s="10" t="s">
        <v>12</v>
      </c>
      <c r="AX65" s="10" t="s">
        <v>12</v>
      </c>
      <c r="AY65" s="10" t="s">
        <v>12</v>
      </c>
    </row>
    <row r="66" spans="1:56" x14ac:dyDescent="0.35">
      <c r="A66" s="2">
        <v>264</v>
      </c>
      <c r="B66" s="15" t="s">
        <v>103</v>
      </c>
      <c r="C66" s="2">
        <v>0</v>
      </c>
      <c r="D66" s="3">
        <v>46310</v>
      </c>
      <c r="E66" s="3">
        <v>46381</v>
      </c>
      <c r="F66" s="2">
        <v>0</v>
      </c>
      <c r="G66" s="2">
        <v>0</v>
      </c>
      <c r="H66" s="2">
        <v>0</v>
      </c>
      <c r="I66" s="3"/>
      <c r="J66" s="3">
        <f>Т_График[[#This Row],[Разраб]]+Т_График[[#This Row],[К]]</f>
        <v>46381</v>
      </c>
      <c r="K66" s="3">
        <f>Т_График[[#This Row],[Разраб]]+Т_График[[#This Row],[К]]+Т_График[[#This Row],[О]]</f>
        <v>46381</v>
      </c>
      <c r="L66" s="3">
        <f>Т_График[[#This Row],[Разраб]]+Т_График[[#This Row],[К]]+Т_График[[#This Row],[О]]+Т_График[[#This Row],[С]]</f>
        <v>46381</v>
      </c>
      <c r="M66" s="5">
        <f>Т_График[[#This Row],[Разраб]]-Т_График[[#This Row],[Рассм]]</f>
        <v>71</v>
      </c>
      <c r="N66" s="3"/>
      <c r="AO66" s="10" t="s">
        <v>12</v>
      </c>
      <c r="AP66" s="10" t="s">
        <v>12</v>
      </c>
      <c r="AQ66" s="10" t="s">
        <v>12</v>
      </c>
      <c r="AR66" s="10" t="s">
        <v>12</v>
      </c>
      <c r="AS66" s="10" t="s">
        <v>12</v>
      </c>
      <c r="AT66" s="10" t="s">
        <v>12</v>
      </c>
      <c r="AU66" s="10" t="s">
        <v>12</v>
      </c>
      <c r="AV66" s="10" t="s">
        <v>12</v>
      </c>
      <c r="AW66" s="10" t="s">
        <v>12</v>
      </c>
      <c r="AX66" s="10" t="s">
        <v>12</v>
      </c>
      <c r="AY66" s="10" t="s">
        <v>12</v>
      </c>
    </row>
    <row r="67" spans="1:56" ht="29" x14ac:dyDescent="0.35">
      <c r="A67" s="2">
        <v>298</v>
      </c>
      <c r="B67" s="15" t="s">
        <v>104</v>
      </c>
      <c r="C67" s="2">
        <v>0</v>
      </c>
      <c r="D67" s="3">
        <v>46310</v>
      </c>
      <c r="E67" s="3">
        <v>46381</v>
      </c>
      <c r="F67" s="2">
        <v>0</v>
      </c>
      <c r="G67" s="2">
        <v>0</v>
      </c>
      <c r="H67" s="2">
        <v>0</v>
      </c>
      <c r="I67" s="3"/>
      <c r="J67" s="3">
        <f>Т_График[[#This Row],[Разраб]]+Т_График[[#This Row],[К]]</f>
        <v>46381</v>
      </c>
      <c r="K67" s="3">
        <f>Т_График[[#This Row],[Разраб]]+Т_График[[#This Row],[К]]+Т_График[[#This Row],[О]]</f>
        <v>46381</v>
      </c>
      <c r="L67" s="3">
        <f>Т_График[[#This Row],[Разраб]]+Т_График[[#This Row],[К]]+Т_График[[#This Row],[О]]+Т_График[[#This Row],[С]]</f>
        <v>46381</v>
      </c>
      <c r="M67" s="5">
        <f>Т_График[[#This Row],[Разраб]]-Т_График[[#This Row],[Рассм]]</f>
        <v>71</v>
      </c>
      <c r="N67" s="3"/>
      <c r="AO67" s="10" t="s">
        <v>12</v>
      </c>
      <c r="AP67" s="10" t="s">
        <v>12</v>
      </c>
      <c r="AQ67" s="10" t="s">
        <v>12</v>
      </c>
      <c r="AR67" s="10" t="s">
        <v>12</v>
      </c>
      <c r="AS67" s="10" t="s">
        <v>12</v>
      </c>
      <c r="AT67" s="10" t="s">
        <v>12</v>
      </c>
      <c r="AU67" s="10" t="s">
        <v>12</v>
      </c>
      <c r="AV67" s="10" t="s">
        <v>12</v>
      </c>
      <c r="AW67" s="10" t="s">
        <v>12</v>
      </c>
      <c r="AX67" s="10" t="s">
        <v>12</v>
      </c>
      <c r="AY67" s="10" t="s">
        <v>12</v>
      </c>
    </row>
    <row r="68" spans="1:56" ht="29" x14ac:dyDescent="0.35">
      <c r="A68" s="2">
        <v>314</v>
      </c>
      <c r="B68" s="15" t="s">
        <v>105</v>
      </c>
      <c r="C68" s="2">
        <v>0</v>
      </c>
      <c r="D68" s="3">
        <v>46310</v>
      </c>
      <c r="E68" s="3">
        <v>46381</v>
      </c>
      <c r="F68" s="2">
        <v>0</v>
      </c>
      <c r="G68" s="2">
        <v>0</v>
      </c>
      <c r="H68" s="2">
        <v>0</v>
      </c>
      <c r="I68" s="3"/>
      <c r="J68" s="3">
        <f>Т_График[[#This Row],[Разраб]]+Т_График[[#This Row],[К]]</f>
        <v>46381</v>
      </c>
      <c r="K68" s="3">
        <f>Т_График[[#This Row],[Разраб]]+Т_График[[#This Row],[К]]+Т_График[[#This Row],[О]]</f>
        <v>46381</v>
      </c>
      <c r="L68" s="3">
        <f>Т_График[[#This Row],[Разраб]]+Т_График[[#This Row],[К]]+Т_График[[#This Row],[О]]+Т_График[[#This Row],[С]]</f>
        <v>46381</v>
      </c>
      <c r="M68" s="5">
        <f>Т_График[[#This Row],[Разраб]]-Т_График[[#This Row],[Рассм]]</f>
        <v>71</v>
      </c>
      <c r="N68" s="3"/>
      <c r="AO68" s="10" t="s">
        <v>12</v>
      </c>
      <c r="AP68" s="10" t="s">
        <v>12</v>
      </c>
      <c r="AQ68" s="10" t="s">
        <v>12</v>
      </c>
      <c r="AR68" s="10" t="s">
        <v>12</v>
      </c>
      <c r="AS68" s="10" t="s">
        <v>12</v>
      </c>
      <c r="AT68" s="10" t="s">
        <v>12</v>
      </c>
      <c r="AU68" s="10" t="s">
        <v>12</v>
      </c>
      <c r="AV68" s="10" t="s">
        <v>12</v>
      </c>
      <c r="AW68" s="10" t="s">
        <v>12</v>
      </c>
      <c r="AX68" s="10" t="s">
        <v>12</v>
      </c>
      <c r="AY68" s="10" t="s">
        <v>12</v>
      </c>
    </row>
    <row r="69" spans="1:56" ht="29" x14ac:dyDescent="0.35">
      <c r="A69" s="2">
        <v>316</v>
      </c>
      <c r="B69" s="15" t="s">
        <v>106</v>
      </c>
      <c r="C69" s="2">
        <v>0</v>
      </c>
      <c r="D69" s="3">
        <v>46310</v>
      </c>
      <c r="E69" s="3">
        <v>46381</v>
      </c>
      <c r="F69" s="2">
        <v>0</v>
      </c>
      <c r="G69" s="2">
        <v>0</v>
      </c>
      <c r="H69" s="2">
        <v>0</v>
      </c>
      <c r="I69" s="3"/>
      <c r="J69" s="3">
        <f>Т_График[[#This Row],[Разраб]]+Т_График[[#This Row],[К]]</f>
        <v>46381</v>
      </c>
      <c r="K69" s="3">
        <f>Т_График[[#This Row],[Разраб]]+Т_График[[#This Row],[К]]+Т_График[[#This Row],[О]]</f>
        <v>46381</v>
      </c>
      <c r="L69" s="3">
        <f>Т_График[[#This Row],[Разраб]]+Т_График[[#This Row],[К]]+Т_График[[#This Row],[О]]+Т_График[[#This Row],[С]]</f>
        <v>46381</v>
      </c>
      <c r="M69" s="5">
        <f>Т_График[[#This Row],[Разраб]]-Т_График[[#This Row],[Рассм]]</f>
        <v>71</v>
      </c>
      <c r="N69" s="3"/>
      <c r="AO69" s="10" t="s">
        <v>12</v>
      </c>
      <c r="AP69" s="10" t="s">
        <v>12</v>
      </c>
      <c r="AQ69" s="10" t="s">
        <v>12</v>
      </c>
      <c r="AR69" s="10" t="s">
        <v>12</v>
      </c>
      <c r="AS69" s="10" t="s">
        <v>12</v>
      </c>
      <c r="AT69" s="10" t="s">
        <v>12</v>
      </c>
      <c r="AU69" s="10" t="s">
        <v>12</v>
      </c>
      <c r="AV69" s="10" t="s">
        <v>12</v>
      </c>
      <c r="AW69" s="10" t="s">
        <v>12</v>
      </c>
      <c r="AX69" s="10" t="s">
        <v>12</v>
      </c>
      <c r="AY69" s="10" t="s">
        <v>12</v>
      </c>
    </row>
    <row r="70" spans="1:56" x14ac:dyDescent="0.35">
      <c r="A70" s="2">
        <v>318</v>
      </c>
      <c r="B70" s="15" t="s">
        <v>107</v>
      </c>
      <c r="C70" s="2">
        <v>0</v>
      </c>
      <c r="D70" s="3">
        <v>46310</v>
      </c>
      <c r="E70" s="3">
        <v>46381</v>
      </c>
      <c r="F70" s="2">
        <v>0</v>
      </c>
      <c r="G70" s="2">
        <v>0</v>
      </c>
      <c r="H70" s="2">
        <v>0</v>
      </c>
      <c r="I70" s="3"/>
      <c r="J70" s="3">
        <f>Т_График[[#This Row],[Разраб]]+Т_График[[#This Row],[К]]</f>
        <v>46381</v>
      </c>
      <c r="K70" s="3">
        <f>Т_График[[#This Row],[Разраб]]+Т_График[[#This Row],[К]]+Т_График[[#This Row],[О]]</f>
        <v>46381</v>
      </c>
      <c r="L70" s="3">
        <f>Т_График[[#This Row],[Разраб]]+Т_График[[#This Row],[К]]+Т_График[[#This Row],[О]]+Т_График[[#This Row],[С]]</f>
        <v>46381</v>
      </c>
      <c r="M70" s="5">
        <f>Т_График[[#This Row],[Разраб]]-Т_График[[#This Row],[Рассм]]</f>
        <v>71</v>
      </c>
      <c r="N70" s="3"/>
      <c r="AO70" s="10" t="s">
        <v>12</v>
      </c>
      <c r="AP70" s="10" t="s">
        <v>12</v>
      </c>
      <c r="AQ70" s="10" t="s">
        <v>12</v>
      </c>
      <c r="AR70" s="10" t="s">
        <v>12</v>
      </c>
      <c r="AS70" s="10" t="s">
        <v>12</v>
      </c>
      <c r="AT70" s="10" t="s">
        <v>12</v>
      </c>
      <c r="AU70" s="10" t="s">
        <v>12</v>
      </c>
      <c r="AV70" s="10" t="s">
        <v>12</v>
      </c>
      <c r="AW70" s="10" t="s">
        <v>12</v>
      </c>
      <c r="AX70" s="10" t="s">
        <v>12</v>
      </c>
      <c r="AY70" s="10" t="s">
        <v>12</v>
      </c>
    </row>
    <row r="71" spans="1:56" x14ac:dyDescent="0.35">
      <c r="A71" s="2">
        <v>320</v>
      </c>
      <c r="B71" s="15" t="s">
        <v>108</v>
      </c>
      <c r="C71" s="2">
        <v>0</v>
      </c>
      <c r="D71" s="3">
        <v>46310</v>
      </c>
      <c r="E71" s="3">
        <v>46381</v>
      </c>
      <c r="F71" s="2">
        <v>0</v>
      </c>
      <c r="G71" s="2">
        <v>0</v>
      </c>
      <c r="H71" s="2">
        <v>0</v>
      </c>
      <c r="I71" s="3"/>
      <c r="J71" s="3">
        <f>Т_График[[#This Row],[Разраб]]+Т_График[[#This Row],[К]]</f>
        <v>46381</v>
      </c>
      <c r="K71" s="3">
        <f>Т_График[[#This Row],[Разраб]]+Т_График[[#This Row],[К]]+Т_График[[#This Row],[О]]</f>
        <v>46381</v>
      </c>
      <c r="L71" s="3">
        <f>Т_График[[#This Row],[Разраб]]+Т_График[[#This Row],[К]]+Т_График[[#This Row],[О]]+Т_График[[#This Row],[С]]</f>
        <v>46381</v>
      </c>
      <c r="M71" s="5">
        <f>Т_График[[#This Row],[Разраб]]-Т_График[[#This Row],[Рассм]]</f>
        <v>71</v>
      </c>
      <c r="N71" s="3"/>
      <c r="AO71" s="10" t="s">
        <v>12</v>
      </c>
      <c r="AP71" s="10" t="s">
        <v>12</v>
      </c>
      <c r="AQ71" s="10" t="s">
        <v>12</v>
      </c>
      <c r="AR71" s="10" t="s">
        <v>12</v>
      </c>
      <c r="AS71" s="10" t="s">
        <v>12</v>
      </c>
      <c r="AT71" s="10" t="s">
        <v>12</v>
      </c>
      <c r="AU71" s="10" t="s">
        <v>12</v>
      </c>
      <c r="AV71" s="10" t="s">
        <v>12</v>
      </c>
      <c r="AW71" s="10" t="s">
        <v>12</v>
      </c>
      <c r="AX71" s="10" t="s">
        <v>12</v>
      </c>
      <c r="AY71" s="10" t="s">
        <v>12</v>
      </c>
    </row>
    <row r="72" spans="1:56" x14ac:dyDescent="0.35">
      <c r="A72" s="2">
        <v>300</v>
      </c>
      <c r="B72" s="15" t="s">
        <v>109</v>
      </c>
      <c r="C72" s="2">
        <v>0</v>
      </c>
      <c r="D72" s="3">
        <v>46310</v>
      </c>
      <c r="E72" s="3">
        <v>46381</v>
      </c>
      <c r="F72" s="2">
        <v>0</v>
      </c>
      <c r="G72" s="2">
        <v>0</v>
      </c>
      <c r="H72" s="2">
        <v>0</v>
      </c>
      <c r="I72" s="3"/>
      <c r="J72" s="3">
        <f>Т_График[[#This Row],[Разраб]]+Т_График[[#This Row],[К]]</f>
        <v>46381</v>
      </c>
      <c r="K72" s="3">
        <f>Т_График[[#This Row],[Разраб]]+Т_График[[#This Row],[К]]+Т_График[[#This Row],[О]]</f>
        <v>46381</v>
      </c>
      <c r="L72" s="3">
        <f>Т_График[[#This Row],[Разраб]]+Т_График[[#This Row],[К]]+Т_График[[#This Row],[О]]+Т_График[[#This Row],[С]]</f>
        <v>46381</v>
      </c>
      <c r="M72" s="5">
        <f>Т_График[[#This Row],[Разраб]]-Т_График[[#This Row],[Рассм]]</f>
        <v>71</v>
      </c>
      <c r="N72" s="3"/>
      <c r="AO72" s="10" t="s">
        <v>12</v>
      </c>
      <c r="AP72" s="10" t="s">
        <v>12</v>
      </c>
      <c r="AQ72" s="10" t="s">
        <v>12</v>
      </c>
      <c r="AR72" s="10" t="s">
        <v>12</v>
      </c>
      <c r="AS72" s="10" t="s">
        <v>12</v>
      </c>
      <c r="AT72" s="10" t="s">
        <v>12</v>
      </c>
      <c r="AU72" s="10" t="s">
        <v>12</v>
      </c>
      <c r="AV72" s="10" t="s">
        <v>12</v>
      </c>
      <c r="AW72" s="10" t="s">
        <v>12</v>
      </c>
      <c r="AX72" s="10" t="s">
        <v>12</v>
      </c>
      <c r="AY72" s="10" t="s">
        <v>12</v>
      </c>
    </row>
    <row r="73" spans="1:56" ht="29" x14ac:dyDescent="0.35">
      <c r="A73" s="2">
        <v>302</v>
      </c>
      <c r="B73" s="15" t="s">
        <v>94</v>
      </c>
      <c r="C73" s="2">
        <v>0</v>
      </c>
      <c r="D73" s="3">
        <v>46381</v>
      </c>
      <c r="E73" s="3">
        <v>46416</v>
      </c>
      <c r="F73" s="2">
        <v>0</v>
      </c>
      <c r="G73" s="2">
        <v>0</v>
      </c>
      <c r="H73" s="2">
        <v>0</v>
      </c>
      <c r="I73" s="3"/>
      <c r="J73" s="3">
        <f>Т_График[[#This Row],[Разраб]]+Т_График[[#This Row],[К]]</f>
        <v>46416</v>
      </c>
      <c r="K73" s="3">
        <f>Т_График[[#This Row],[Разраб]]+Т_График[[#This Row],[К]]+Т_График[[#This Row],[О]]</f>
        <v>46416</v>
      </c>
      <c r="L73" s="3">
        <f>Т_График[[#This Row],[Разраб]]+Т_График[[#This Row],[К]]+Т_График[[#This Row],[О]]+Т_График[[#This Row],[С]]</f>
        <v>46416</v>
      </c>
      <c r="M73" s="5">
        <f>Т_График[[#This Row],[Разраб]]-Т_График[[#This Row],[Рассм]]</f>
        <v>35</v>
      </c>
      <c r="N73" s="3"/>
      <c r="AY73" s="10" t="s">
        <v>12</v>
      </c>
      <c r="AZ73" s="10" t="s">
        <v>12</v>
      </c>
      <c r="BA73" s="10" t="s">
        <v>12</v>
      </c>
      <c r="BB73" s="10" t="s">
        <v>12</v>
      </c>
      <c r="BC73" s="10" t="s">
        <v>12</v>
      </c>
      <c r="BD73" s="10" t="s">
        <v>12</v>
      </c>
    </row>
    <row r="74" spans="1:56" ht="29" x14ac:dyDescent="0.35">
      <c r="A74" s="2">
        <v>304</v>
      </c>
      <c r="B74" s="15" t="s">
        <v>95</v>
      </c>
      <c r="C74" s="2">
        <v>0</v>
      </c>
      <c r="D74" s="3">
        <v>46388</v>
      </c>
      <c r="E74" s="3">
        <v>46416</v>
      </c>
      <c r="F74" s="2">
        <v>0</v>
      </c>
      <c r="G74" s="2">
        <v>0</v>
      </c>
      <c r="H74" s="2">
        <v>0</v>
      </c>
      <c r="I74" s="3"/>
      <c r="J74" s="3">
        <f>Т_График[[#This Row],[Разраб]]+Т_График[[#This Row],[К]]</f>
        <v>46416</v>
      </c>
      <c r="K74" s="3">
        <f>Т_График[[#This Row],[Разраб]]+Т_График[[#This Row],[К]]+Т_График[[#This Row],[О]]</f>
        <v>46416</v>
      </c>
      <c r="L74" s="3">
        <f>Т_График[[#This Row],[Разраб]]+Т_График[[#This Row],[К]]+Т_График[[#This Row],[О]]+Т_График[[#This Row],[С]]</f>
        <v>46416</v>
      </c>
      <c r="M74" s="5">
        <f>Т_График[[#This Row],[Разраб]]-Т_График[[#This Row],[Рассм]]</f>
        <v>28</v>
      </c>
      <c r="N74" s="3"/>
      <c r="AZ74" s="10" t="s">
        <v>12</v>
      </c>
      <c r="BA74" s="10" t="s">
        <v>12</v>
      </c>
      <c r="BB74" s="10" t="s">
        <v>12</v>
      </c>
      <c r="BC74" s="10" t="s">
        <v>12</v>
      </c>
      <c r="BD74" s="10" t="s">
        <v>12</v>
      </c>
    </row>
  </sheetData>
  <dataValidations disablePrompts="1" count="2">
    <dataValidation type="list" allowBlank="1" showInputMessage="1" showErrorMessage="1" sqref="G8" xr:uid="{00000000-0002-0000-0000-000000000000}">
      <formula1>"0,6,13,20,27"</formula1>
    </dataValidation>
    <dataValidation type="whole" allowBlank="1" showInputMessage="1" showErrorMessage="1" sqref="C8" xr:uid="{00000000-0002-0000-0000-000001000000}">
      <formula1>-99</formula1>
      <formula2>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Лист1.Selection_On">
                <anchor moveWithCells="1" sizeWithCells="1">
                  <from>
                    <xdr:col>0</xdr:col>
                    <xdr:colOff>25400</xdr:colOff>
                    <xdr:row>7</xdr:row>
                    <xdr:rowOff>25400</xdr:rowOff>
                  </from>
                  <to>
                    <xdr:col>0</xdr:col>
                    <xdr:colOff>298450</xdr:colOff>
                    <xdr:row>7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Лист1.Selection_Off">
                <anchor moveWithCells="1" sizeWithCells="1">
                  <from>
                    <xdr:col>0</xdr:col>
                    <xdr:colOff>25400</xdr:colOff>
                    <xdr:row>7</xdr:row>
                    <xdr:rowOff>266700</xdr:rowOff>
                  </from>
                  <to>
                    <xdr:col>0</xdr:col>
                    <xdr:colOff>285750</xdr:colOff>
                    <xdr:row>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Лист1.UpdateBitrixSmartFromTable">
                <anchor moveWithCells="1" sizeWithCells="1">
                  <from>
                    <xdr:col>3</xdr:col>
                    <xdr:colOff>273050</xdr:colOff>
                    <xdr:row>6</xdr:row>
                    <xdr:rowOff>152400</xdr:rowOff>
                  </from>
                  <to>
                    <xdr:col>4</xdr:col>
                    <xdr:colOff>527050</xdr:colOff>
                    <xdr:row>7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Лист1.UpdateBitrixSmartActivityFromTable">
                <anchor moveWithCells="1" sizeWithCells="1">
                  <from>
                    <xdr:col>13</xdr:col>
                    <xdr:colOff>463550</xdr:colOff>
                    <xdr:row>7</xdr:row>
                    <xdr:rowOff>38100</xdr:rowOff>
                  </from>
                  <to>
                    <xdr:col>13</xdr:col>
                    <xdr:colOff>2482850</xdr:colOff>
                    <xdr:row>7</xdr:row>
                    <xdr:rowOff>349250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1"/>
  </sheetPr>
  <dimension ref="J1:V3"/>
  <sheetViews>
    <sheetView workbookViewId="0">
      <selection activeCell="M2" sqref="M2"/>
    </sheetView>
  </sheetViews>
  <sheetFormatPr defaultRowHeight="14.5" x14ac:dyDescent="0.35"/>
  <sheetData>
    <row r="1" spans="10:22" x14ac:dyDescent="0.35">
      <c r="J1" t="s">
        <v>24</v>
      </c>
      <c r="K1" t="s">
        <v>25</v>
      </c>
      <c r="L1" t="s">
        <v>26</v>
      </c>
      <c r="M1" t="s">
        <v>27</v>
      </c>
      <c r="O1" t="s">
        <v>24</v>
      </c>
      <c r="P1" t="s">
        <v>28</v>
      </c>
      <c r="Q1" t="s">
        <v>29</v>
      </c>
      <c r="R1" t="s">
        <v>30</v>
      </c>
      <c r="S1" t="s">
        <v>31</v>
      </c>
      <c r="T1" t="s">
        <v>32</v>
      </c>
      <c r="U1" t="s">
        <v>33</v>
      </c>
      <c r="V1" t="s">
        <v>34</v>
      </c>
    </row>
    <row r="2" spans="10:22" x14ac:dyDescent="0.35">
      <c r="J2">
        <v>1</v>
      </c>
      <c r="K2" t="s">
        <v>37</v>
      </c>
      <c r="L2">
        <v>200</v>
      </c>
      <c r="M2" t="s">
        <v>110</v>
      </c>
      <c r="O2">
        <v>1</v>
      </c>
      <c r="Q2">
        <v>0</v>
      </c>
      <c r="R2">
        <v>0</v>
      </c>
      <c r="S2" t="s">
        <v>35</v>
      </c>
      <c r="U2" t="s">
        <v>36</v>
      </c>
      <c r="V2" t="s">
        <v>111</v>
      </c>
    </row>
    <row r="3" spans="10:22" x14ac:dyDescent="0.35">
      <c r="J3">
        <v>2</v>
      </c>
      <c r="K3" t="s">
        <v>37</v>
      </c>
      <c r="L3">
        <v>200</v>
      </c>
      <c r="M3" t="s">
        <v>112</v>
      </c>
      <c r="O3">
        <v>2</v>
      </c>
      <c r="Q3">
        <v>0</v>
      </c>
      <c r="R3">
        <v>0</v>
      </c>
      <c r="S3" t="s">
        <v>35</v>
      </c>
      <c r="U3" t="s">
        <v>36</v>
      </c>
      <c r="V3" t="s">
        <v>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График</vt:lpstr>
      <vt:lpstr>tech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rocket</dc:creator>
  <cp:lastModifiedBy>rocket</cp:lastModifiedBy>
  <dcterms:created xsi:type="dcterms:W3CDTF">2026-07-10T07:02:36Z</dcterms:created>
  <dcterms:modified xsi:type="dcterms:W3CDTF">2026-08-21T09:00:57Z</dcterms:modified>
</cp:coreProperties>
</file>